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350" activeTab="1"/>
  </bookViews>
  <sheets>
    <sheet name="Sheet1" sheetId="1" r:id="rId1"/>
    <sheet name="DASHBORAD" sheetId="2" r:id="rId2"/>
    <sheet name="PIVOT TABLE" sheetId="3" r:id="rId3"/>
  </sheets>
  <definedNames>
    <definedName name="_xlnm._FilterDatabase" localSheetId="0" hidden="1">Sheet1!$A$1:$I$116</definedName>
  </definedNames>
  <calcPr calcId="144525"/>
  <pivotCaches>
    <pivotCache cacheId="0" r:id="rId4"/>
  </pivotCaches>
</workbook>
</file>

<file path=xl/sharedStrings.xml><?xml version="1.0" encoding="utf-8"?>
<sst xmlns="http://schemas.openxmlformats.org/spreadsheetml/2006/main" count="424" uniqueCount="30">
  <si>
    <t>Order ID</t>
  </si>
  <si>
    <t>Date</t>
  </si>
  <si>
    <t>Month</t>
  </si>
  <si>
    <t>Customer</t>
  </si>
  <si>
    <t>Category</t>
  </si>
  <si>
    <t>Quantity</t>
  </si>
  <si>
    <t>Price</t>
  </si>
  <si>
    <t>Sales</t>
  </si>
  <si>
    <t>City</t>
  </si>
  <si>
    <t>LINA</t>
  </si>
  <si>
    <t>ACCESSORIES</t>
  </si>
  <si>
    <t>IRBID</t>
  </si>
  <si>
    <t>OMAR</t>
  </si>
  <si>
    <t>ELECTRONICS</t>
  </si>
  <si>
    <t>ZARQA</t>
  </si>
  <si>
    <t>MAX</t>
  </si>
  <si>
    <t>MIN</t>
  </si>
  <si>
    <t>COUNT</t>
  </si>
  <si>
    <t>MOHAMMAD</t>
  </si>
  <si>
    <t>AQABA</t>
  </si>
  <si>
    <t>AMMAN</t>
  </si>
  <si>
    <t>Sum of Price</t>
  </si>
  <si>
    <t>AVERGE OF PRICE</t>
  </si>
  <si>
    <t>NOOR</t>
  </si>
  <si>
    <t>SARA</t>
  </si>
  <si>
    <t>AHMAD</t>
  </si>
  <si>
    <t>Sum of Sales</t>
  </si>
  <si>
    <t>Average of Sales</t>
  </si>
  <si>
    <t>Grand Total</t>
  </si>
  <si>
    <t>Sum of Quantity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</si>
</sst>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/>
    <xf numFmtId="178" fontId="0" fillId="0" borderId="0" xfId="0" applyNumberFormat="1"/>
    <xf numFmtId="0" fontId="0" fillId="2" borderId="0" xfId="0" applyFont="1" applyFill="1"/>
    <xf numFmtId="0" fontId="1" fillId="2" borderId="1" xfId="0" applyFont="1" applyFill="1" applyBorder="1" applyAlignment="1">
      <alignment horizontal="center" vertical="top"/>
    </xf>
    <xf numFmtId="179" fontId="0" fillId="0" borderId="0" xfId="0" applyNumberFormat="1"/>
    <xf numFmtId="0" fontId="0" fillId="3" borderId="0" xfId="0" applyFill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178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numFmt numFmtId="180" formatCode="0.00000_ "/>
    </dxf>
    <dxf>
      <numFmt numFmtId="181" formatCode="0.0000_ "/>
    </dxf>
    <dxf>
      <numFmt numFmtId="182" formatCode="0.000_ "/>
    </dxf>
    <dxf>
      <numFmt numFmtId="178" formatCode="0.00_ "/>
    </dxf>
    <dxf>
      <numFmt numFmtId="179" formatCode="yyyy\-mm\-dd\ hh:mm:ss"/>
    </dxf>
    <dxf>
      <font>
        <b val="1"/>
        <color theme="0"/>
      </font>
      <fill>
        <patternFill patternType="solid">
          <fgColor theme="4" tint="-0.249977111117893"/>
          <bgColor theme="4" tint="-0.249977111117893"/>
        </patternFill>
      </fill>
    </dxf>
    <dxf>
      <font>
        <b val="1"/>
        <color theme="0"/>
      </font>
    </dxf>
    <dxf>
      <font>
        <b val="1"/>
        <color theme="0"/>
      </font>
    </dxf>
    <dxf>
      <font>
        <b val="1"/>
        <color theme="0"/>
      </font>
    </dxf>
    <dxf>
      <font>
        <color theme="4" tint="0.799981688894314"/>
      </font>
    </dxf>
    <dxf>
      <font>
        <b val="1"/>
        <color theme="0"/>
      </font>
    </dxf>
    <dxf>
      <fill>
        <patternFill patternType="solid">
          <fgColor theme="4" tint="0.399975585192419"/>
          <bgColor theme="4" tint="0.399975585192419"/>
        </patternFill>
      </fill>
    </dxf>
    <dxf>
      <fill>
        <patternFill patternType="solid">
          <fgColor theme="4" tint="0.399975585192419"/>
          <bgColor theme="4" tint="0.399975585192419"/>
        </patternFill>
      </fill>
    </dxf>
    <dxf>
      <font>
        <b val="1"/>
        <color theme="0"/>
      </font>
      <fill>
        <patternFill patternType="solid">
          <fgColor theme="4" tint="-0.249977111117893"/>
          <bgColor theme="4" tint="-0.249977111117893"/>
        </patternFill>
      </fill>
    </dxf>
    <dxf>
      <font>
        <b val="1"/>
        <color theme="0"/>
      </font>
      <border>
        <top style="medium">
          <color theme="0"/>
        </top>
      </border>
    </dxf>
    <dxf>
      <fill>
        <patternFill patternType="solid">
          <fgColor theme="4" tint="-0.249977111117893"/>
          <bgColor theme="4" tint="-0.249977111117893"/>
        </patternFill>
      </fill>
      <border>
        <bottom style="medium">
          <color theme="0"/>
        </bottom>
      </border>
    </dxf>
    <dxf>
      <font>
        <color theme="4" tint="0.799981688894314"/>
      </font>
      <fill>
        <patternFill patternType="solid">
          <fgColor theme="4"/>
          <bgColor theme="4"/>
        </patternFill>
      </fill>
      <border>
        <vertical style="thin">
          <color theme="0"/>
        </vertical>
      </border>
    </dxf>
  </dxfs>
  <tableStyles count="1" defaultTableStyle="TableStyleMedium9" defaultPivotStyle="PivotStyleLight16">
    <tableStyle name="PivotStylePreset7_Accent1" table="0" count="12" xr9:uid="{AC3489A5-FE74-4D3B-9C88-E50188FC1A87}">
      <tableStyleElement type="wholeTable" dxfId="16"/>
      <tableStyleElement type="headerRow" dxfId="15"/>
      <tableStyleElement type="totalRow" dxfId="14"/>
      <tableStyleElement type="firstColumn" dxfId="13"/>
      <tableStyleElement type="secondRowStripe" dxfId="12"/>
      <tableStyleElement type="secondColumnStripe" dxfId="11"/>
      <tableStyleElement type="firstHeaderCell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t>Sum of Price With Accessories by City</a:t>
            </a:r>
          </a:p>
        </c:rich>
      </c:tx>
      <c:layout>
        <c:manualLayout>
          <c:xMode val="edge"/>
          <c:yMode val="edge"/>
          <c:x val="0.122169745798028"/>
          <c:y val="0.0138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Sheet1!$M$14</c:f>
              <c:strCache>
                <c:ptCount val="1"/>
                <c:pt idx="0">
                  <c:v>Sum of Price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Sheet1!$K$15:$L$18</c:f>
              <c:multiLvlStrCache>
                <c:ptCount val="4"/>
                <c:lvl>
                  <c:pt idx="0">
                    <c:v>ACCESSORIES</c:v>
                  </c:pt>
                  <c:pt idx="1">
                    <c:v>ACCESSORIES</c:v>
                  </c:pt>
                  <c:pt idx="2">
                    <c:v>ACCESSORIES</c:v>
                  </c:pt>
                  <c:pt idx="3">
                    <c:v>ACCESSORIES</c:v>
                  </c:pt>
                </c:lvl>
                <c:lvl>
                  <c:pt idx="0">
                    <c:v>IRBID</c:v>
                  </c:pt>
                  <c:pt idx="1">
                    <c:v>ZARQA</c:v>
                  </c:pt>
                  <c:pt idx="2">
                    <c:v>AQABA</c:v>
                  </c:pt>
                  <c:pt idx="3">
                    <c:v>AMMAN</c:v>
                  </c:pt>
                </c:lvl>
              </c:multiLvlStrCache>
            </c:multiLvlStrRef>
          </c:cat>
          <c:val>
            <c:numRef>
              <c:f>Sheet1!$M$15:$M$18</c:f>
              <c:numCache>
                <c:formatCode>General</c:formatCode>
                <c:ptCount val="4"/>
                <c:pt idx="0">
                  <c:v>8187</c:v>
                </c:pt>
                <c:pt idx="1">
                  <c:v>6104</c:v>
                </c:pt>
                <c:pt idx="2">
                  <c:v>7948</c:v>
                </c:pt>
                <c:pt idx="3">
                  <c:v>11268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1"/>
        <c:overlap val="0"/>
        <c:axId val="932807433"/>
        <c:axId val="970265012"/>
      </c:barChart>
      <c:catAx>
        <c:axId val="9328074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</a:p>
        </c:txPr>
        <c:crossAx val="970265012"/>
        <c:crosses val="autoZero"/>
        <c:auto val="1"/>
        <c:lblAlgn val="ctr"/>
        <c:lblOffset val="100"/>
        <c:noMultiLvlLbl val="0"/>
      </c:catAx>
      <c:valAx>
        <c:axId val="9702650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8074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Sheet1!$Q$7</c:f>
              <c:strCache>
                <c:ptCount val="1"/>
                <c:pt idx="0">
                  <c:v>AVERGE OF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Sheet1!$O$8:$P$11</c:f>
              <c:multiLvlStrCache>
                <c:ptCount val="4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ELECTRONICS</c:v>
                  </c:pt>
                </c:lvl>
                <c:lvl>
                  <c:pt idx="0">
                    <c:v>IRBID</c:v>
                  </c:pt>
                  <c:pt idx="1">
                    <c:v>ZARQA</c:v>
                  </c:pt>
                  <c:pt idx="2">
                    <c:v>AQABA</c:v>
                  </c:pt>
                  <c:pt idx="3">
                    <c:v>AMMAN</c:v>
                  </c:pt>
                </c:lvl>
              </c:multiLvlStrCache>
            </c:multiLvlStrRef>
          </c:cat>
          <c:val>
            <c:numRef>
              <c:f>Sheet1!$Q$8:$Q$11</c:f>
              <c:numCache>
                <c:formatCode>0.00_ </c:formatCode>
                <c:ptCount val="4"/>
                <c:pt idx="0">
                  <c:v>649.555555555556</c:v>
                </c:pt>
                <c:pt idx="1">
                  <c:v>554.909090909091</c:v>
                </c:pt>
                <c:pt idx="2">
                  <c:v>578.230769230769</c:v>
                </c:pt>
                <c:pt idx="3">
                  <c:v>495.647058823529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6995561"/>
        <c:axId val="384993734"/>
      </c:barChart>
      <c:catAx>
        <c:axId val="5869955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4993734"/>
        <c:crosses val="autoZero"/>
        <c:auto val="1"/>
        <c:lblAlgn val="ctr"/>
        <c:lblOffset val="100"/>
        <c:noMultiLvlLbl val="0"/>
      </c:catAx>
      <c:valAx>
        <c:axId val="3849937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9955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Sheet1!$Q$14</c:f>
              <c:strCache>
                <c:ptCount val="1"/>
                <c:pt idx="0">
                  <c:v>AVERGE OF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Sheet1!$O$15:$P$18</c:f>
              <c:multiLvlStrCache>
                <c:ptCount val="4"/>
                <c:lvl>
                  <c:pt idx="0">
                    <c:v>ACCESSORIES</c:v>
                  </c:pt>
                  <c:pt idx="1">
                    <c:v>ACCESSORIES</c:v>
                  </c:pt>
                  <c:pt idx="2">
                    <c:v>ACCESSORIES</c:v>
                  </c:pt>
                  <c:pt idx="3">
                    <c:v>ACCESSORIES</c:v>
                  </c:pt>
                </c:lvl>
                <c:lvl>
                  <c:pt idx="0">
                    <c:v>IRBID</c:v>
                  </c:pt>
                  <c:pt idx="1">
                    <c:v>ZARQA</c:v>
                  </c:pt>
                  <c:pt idx="2">
                    <c:v>AQABA</c:v>
                  </c:pt>
                  <c:pt idx="3">
                    <c:v>AMMAN</c:v>
                  </c:pt>
                </c:lvl>
              </c:multiLvlStrCache>
            </c:multiLvlStrRef>
          </c:cat>
          <c:val>
            <c:numRef>
              <c:f>Sheet1!$Q$15:$Q$18</c:f>
              <c:numCache>
                <c:formatCode>0.00_ </c:formatCode>
                <c:ptCount val="4"/>
                <c:pt idx="0">
                  <c:v>584.785714285714</c:v>
                </c:pt>
                <c:pt idx="1">
                  <c:v>554.909090909091</c:v>
                </c:pt>
                <c:pt idx="2">
                  <c:v>567.714285714286</c:v>
                </c:pt>
                <c:pt idx="3">
                  <c:v>536.571428571429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92811371"/>
        <c:axId val="233997132"/>
      </c:barChart>
      <c:catAx>
        <c:axId val="69281137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997132"/>
        <c:crosses val="autoZero"/>
        <c:auto val="1"/>
        <c:lblAlgn val="ctr"/>
        <c:lblOffset val="100"/>
        <c:noMultiLvlLbl val="0"/>
      </c:catAx>
      <c:valAx>
        <c:axId val="2339971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8113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TABLE!Sum of Sales by City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t>Total Of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TABLE'!$A$3:$A$7</c:f>
              <c:strCache>
                <c:ptCount val="4"/>
                <c:pt idx="0">
                  <c:v>AMMAN</c:v>
                </c:pt>
                <c:pt idx="1">
                  <c:v>AQABA</c:v>
                </c:pt>
                <c:pt idx="2">
                  <c:v>IRBID</c:v>
                </c:pt>
                <c:pt idx="3">
                  <c:v>ZARQA</c:v>
                </c:pt>
              </c:strCache>
            </c:strRef>
          </c:cat>
          <c:val>
            <c:numRef>
              <c:f>'PIVOT TABLE'!$B$3:$B$7</c:f>
              <c:numCache>
                <c:formatCode>General</c:formatCode>
                <c:ptCount val="4"/>
                <c:pt idx="0">
                  <c:v>51496</c:v>
                </c:pt>
                <c:pt idx="1">
                  <c:v>38912</c:v>
                </c:pt>
                <c:pt idx="2">
                  <c:v>33617</c:v>
                </c:pt>
                <c:pt idx="3">
                  <c:v>31920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92236699"/>
        <c:axId val="70099629"/>
      </c:barChart>
      <c:catAx>
        <c:axId val="4922366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99629"/>
        <c:crosses val="autoZero"/>
        <c:auto val="1"/>
        <c:lblAlgn val="ctr"/>
        <c:lblOffset val="100"/>
        <c:noMultiLvlLbl val="0"/>
      </c:catAx>
      <c:valAx>
        <c:axId val="700996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22366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TABLE!PivotTable3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TABLE'!$C$13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TABLE'!$B$14:$B$16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'PIVOT TABLE'!$C$14:$C$16</c:f>
              <c:numCache>
                <c:formatCode>General</c:formatCode>
                <c:ptCount val="2"/>
                <c:pt idx="0">
                  <c:v>166</c:v>
                </c:pt>
                <c:pt idx="1">
                  <c:v>121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t>Total of sales by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TABLE'!$J$12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'PIVOT TABLE'!$I$13:$I$17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'PIVOT TABLE'!$J$13:$J$17</c:f>
              <c:numCache>
                <c:formatCode>General</c:formatCode>
                <c:ptCount val="4"/>
                <c:pt idx="0">
                  <c:v>33444</c:v>
                </c:pt>
                <c:pt idx="1">
                  <c:v>36966</c:v>
                </c:pt>
                <c:pt idx="2">
                  <c:v>44888</c:v>
                </c:pt>
                <c:pt idx="3">
                  <c:v>40647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12289895"/>
        <c:axId val="35847372"/>
      </c:lineChart>
      <c:catAx>
        <c:axId val="212289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47372"/>
        <c:crosses val="autoZero"/>
        <c:auto val="1"/>
        <c:lblAlgn val="ctr"/>
        <c:lblOffset val="100"/>
        <c:noMultiLvlLbl val="0"/>
      </c:catAx>
      <c:valAx>
        <c:axId val="358473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28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71120</xdr:colOff>
      <xdr:row>0</xdr:row>
      <xdr:rowOff>76200</xdr:rowOff>
    </xdr:from>
    <xdr:to>
      <xdr:col>7</xdr:col>
      <xdr:colOff>375920</xdr:colOff>
      <xdr:row>15</xdr:row>
      <xdr:rowOff>57150</xdr:rowOff>
    </xdr:to>
    <xdr:graphicFrame>
      <xdr:nvGraphicFramePr>
        <xdr:cNvPr id="3" name="Chart 2"/>
        <xdr:cNvGraphicFramePr/>
      </xdr:nvGraphicFramePr>
      <xdr:xfrm>
        <a:off x="71120" y="762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450850</xdr:colOff>
      <xdr:row>0</xdr:row>
      <xdr:rowOff>19050</xdr:rowOff>
    </xdr:from>
    <xdr:to>
      <xdr:col>15</xdr:col>
      <xdr:colOff>146050</xdr:colOff>
      <xdr:row>15</xdr:row>
      <xdr:rowOff>0</xdr:rowOff>
    </xdr:to>
    <xdr:graphicFrame>
      <xdr:nvGraphicFramePr>
        <xdr:cNvPr id="4" name="Chart 3"/>
        <xdr:cNvGraphicFramePr/>
      </xdr:nvGraphicFramePr>
      <xdr:xfrm>
        <a:off x="4718050" y="190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184150</xdr:colOff>
      <xdr:row>15</xdr:row>
      <xdr:rowOff>114300</xdr:rowOff>
    </xdr:from>
    <xdr:to>
      <xdr:col>7</xdr:col>
      <xdr:colOff>488950</xdr:colOff>
      <xdr:row>30</xdr:row>
      <xdr:rowOff>95250</xdr:rowOff>
    </xdr:to>
    <xdr:graphicFrame>
      <xdr:nvGraphicFramePr>
        <xdr:cNvPr id="5" name="Chart 4"/>
        <xdr:cNvGraphicFramePr/>
      </xdr:nvGraphicFramePr>
      <xdr:xfrm>
        <a:off x="184150" y="28765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552450</xdr:colOff>
      <xdr:row>15</xdr:row>
      <xdr:rowOff>107950</xdr:rowOff>
    </xdr:from>
    <xdr:to>
      <xdr:col>15</xdr:col>
      <xdr:colOff>247650</xdr:colOff>
      <xdr:row>30</xdr:row>
      <xdr:rowOff>88900</xdr:rowOff>
    </xdr:to>
    <xdr:graphicFrame>
      <xdr:nvGraphicFramePr>
        <xdr:cNvPr id="6" name="Chart 5"/>
        <xdr:cNvGraphicFramePr/>
      </xdr:nvGraphicFramePr>
      <xdr:xfrm>
        <a:off x="4819650" y="28702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190500</xdr:colOff>
      <xdr:row>0</xdr:row>
      <xdr:rowOff>25400</xdr:rowOff>
    </xdr:from>
    <xdr:to>
      <xdr:col>22</xdr:col>
      <xdr:colOff>495300</xdr:colOff>
      <xdr:row>15</xdr:row>
      <xdr:rowOff>6350</xdr:rowOff>
    </xdr:to>
    <xdr:graphicFrame>
      <xdr:nvGraphicFramePr>
        <xdr:cNvPr id="7" name="Chart 6"/>
        <xdr:cNvGraphicFramePr/>
      </xdr:nvGraphicFramePr>
      <xdr:xfrm>
        <a:off x="9334500" y="254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273050</xdr:colOff>
      <xdr:row>15</xdr:row>
      <xdr:rowOff>50800</xdr:rowOff>
    </xdr:from>
    <xdr:to>
      <xdr:col>22</xdr:col>
      <xdr:colOff>577850</xdr:colOff>
      <xdr:row>30</xdr:row>
      <xdr:rowOff>31750</xdr:rowOff>
    </xdr:to>
    <xdr:graphicFrame>
      <xdr:nvGraphicFramePr>
        <xdr:cNvPr id="8" name="Chart 7"/>
        <xdr:cNvGraphicFramePr/>
      </xdr:nvGraphicFramePr>
      <xdr:xfrm>
        <a:off x="9417050" y="28130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0.357662037" refreshedBy="BAB AL SAFA" recordCount="115">
  <cacheSource type="worksheet">
    <worksheetSource name="Table2"/>
  </cacheSource>
  <cacheFields count="9">
    <cacheField name="Order ID" numFmtId="0">
      <sharedItems containsSemiMixedTypes="0" containsString="0" containsNumber="1" containsInteger="1" minValue="1001" maxValue="1120" count="115">
        <n v="1001"/>
        <n v="1002"/>
        <n v="1003"/>
        <n v="1004"/>
        <n v="1005"/>
        <n v="1009"/>
        <n v="1010"/>
        <n v="1011"/>
        <n v="1012"/>
        <n v="1013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</sharedItems>
    </cacheField>
    <cacheField name="Date" numFmtId="179">
      <sharedItems containsSemiMixedTypes="0" containsString="0" containsNonDate="0" containsDate="1" minDate="2024-01-01T00:00:00" maxDate="2024-04-29T00:00:00" count="115">
        <d v="2024-01-01T00:00:00"/>
        <d v="2024-01-02T00:00:00"/>
        <d v="2024-01-03T00:00:00"/>
        <d v="2024-01-04T00:00:00"/>
        <d v="2024-01-05T00:00:00"/>
        <d v="2024-01-09T00:00:00"/>
        <d v="2024-01-10T00:00:00"/>
        <d v="2024-01-11T00:00:00"/>
        <d v="2024-01-12T00:00:00"/>
        <d v="2024-01-13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</sharedItems>
    </cacheField>
    <cacheField name="Month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ustomer" numFmtId="0">
      <sharedItems count="6">
        <s v="LINA"/>
        <s v="OMAR"/>
        <s v="MOHAMMAD"/>
        <s v="NOOR"/>
        <s v="SARA"/>
        <s v="AHMAD"/>
      </sharedItems>
    </cacheField>
    <cacheField name="Category" numFmtId="0">
      <sharedItems count="2">
        <s v="ACCESSORIES"/>
        <s v="ELECTRONICS"/>
      </sharedItems>
    </cacheField>
    <cacheField name="Quantity" numFmtId="0">
      <sharedItems containsSemiMixedTypes="0" containsString="0" containsNumber="1" containsInteger="1" minValue="1" maxValue="4" count="4">
        <n v="4"/>
        <n v="2"/>
        <n v="1"/>
        <n v="3"/>
      </sharedItems>
    </cacheField>
    <cacheField name="Price" numFmtId="0">
      <sharedItems containsSemiMixedTypes="0" containsString="0" containsNumber="1" containsInteger="1" minValue="65" maxValue="978" count="108">
        <n v="926"/>
        <n v="933"/>
        <n v="399"/>
        <n v="96"/>
        <n v="916"/>
        <n v="705"/>
        <n v="318"/>
        <n v="419"/>
        <n v="685"/>
        <n v="155"/>
        <n v="706"/>
        <n v="169"/>
        <n v="880"/>
        <n v="836"/>
        <n v="653"/>
        <n v="107"/>
        <n v="395"/>
        <n v="790"/>
        <n v="523"/>
        <n v="166"/>
        <n v="879"/>
        <n v="840"/>
        <n v="176"/>
        <n v="442"/>
        <n v="957"/>
        <n v="690"/>
        <n v="683"/>
        <n v="562"/>
        <n v="800"/>
        <n v="851"/>
        <n v="145"/>
        <n v="687"/>
        <n v="167"/>
        <n v="609"/>
        <n v="650"/>
        <n v="537"/>
        <n v="286"/>
        <n v="934"/>
        <n v="946"/>
        <n v="321"/>
        <n v="238"/>
        <n v="753"/>
        <n v="496"/>
        <n v="630"/>
        <n v="839"/>
        <n v="910"/>
        <n v="296"/>
        <n v="125"/>
        <n v="203"/>
        <n v="484"/>
        <n v="135"/>
        <n v="746"/>
        <n v="334"/>
        <n v="269"/>
        <n v="118"/>
        <n v="143"/>
        <n v="799"/>
        <n v="502"/>
        <n v="253"/>
        <n v="961"/>
        <n v="267"/>
        <n v="481"/>
        <n v="390"/>
        <n v="600"/>
        <n v="661"/>
        <n v="338"/>
        <n v="303"/>
        <n v="783"/>
        <n v="406"/>
        <n v="72"/>
        <n v="811"/>
        <n v="571"/>
        <n v="807"/>
        <n v="886"/>
        <n v="149"/>
        <n v="229"/>
        <n v="272"/>
        <n v="955"/>
        <n v="708"/>
        <n v="491"/>
        <n v="657"/>
        <n v="818"/>
        <n v="374"/>
        <n v="565"/>
        <n v="65"/>
        <n v="841"/>
        <n v="385"/>
        <n v="808"/>
        <n v="307"/>
        <n v="546"/>
        <n v="945"/>
        <n v="209"/>
        <n v="524"/>
        <n v="901"/>
        <n v="713"/>
        <n v="739"/>
        <n v="724"/>
        <n v="429"/>
        <n v="594"/>
        <n v="978"/>
        <n v="740"/>
        <n v="476"/>
        <n v="662"/>
        <n v="317"/>
        <n v="884"/>
        <n v="626"/>
        <n v="466"/>
        <n v="217"/>
      </sharedItems>
    </cacheField>
    <cacheField name="Sales" numFmtId="0">
      <sharedItems containsSemiMixedTypes="0" containsString="0" containsNumber="1" containsInteger="1" minValue="125" maxValue="3912" count="111">
        <n v="3704"/>
        <n v="1866"/>
        <n v="399"/>
        <n v="192"/>
        <n v="916"/>
        <n v="705"/>
        <n v="318"/>
        <n v="1676"/>
        <n v="685"/>
        <n v="155"/>
        <n v="2118"/>
        <n v="507"/>
        <n v="3520"/>
        <n v="836"/>
        <n v="2612"/>
        <n v="321"/>
        <n v="395"/>
        <n v="790"/>
        <n v="2092"/>
        <n v="498"/>
        <n v="879"/>
        <n v="3360"/>
        <n v="528"/>
        <n v="1768"/>
        <n v="1914"/>
        <n v="690"/>
        <n v="214"/>
        <n v="2049"/>
        <n v="1124"/>
        <n v="1600"/>
        <n v="2553"/>
        <n v="580"/>
        <n v="1374"/>
        <n v="668"/>
        <n v="1218"/>
        <n v="2600"/>
        <n v="1611"/>
        <n v="572"/>
        <n v="2802"/>
        <n v="1892"/>
        <n v="963"/>
        <n v="714"/>
        <n v="1506"/>
        <n v="992"/>
        <n v="1260"/>
        <n v="839"/>
        <n v="3640"/>
        <n v="296"/>
        <n v="125"/>
        <n v="609"/>
        <n v="1410"/>
        <n v="1936"/>
        <n v="405"/>
        <n v="746"/>
        <n v="807"/>
        <n v="236"/>
        <n v="288"/>
        <n v="286"/>
        <n v="799"/>
        <n v="2008"/>
        <n v="253"/>
        <n v="3844"/>
        <n v="534"/>
        <n v="1569"/>
        <n v="481"/>
        <n v="1560"/>
        <n v="600"/>
        <n v="2644"/>
        <n v="338"/>
        <n v="1212"/>
        <n v="3132"/>
        <n v="812"/>
        <n v="1622"/>
        <n v="2284"/>
        <n v="2421"/>
        <n v="2658"/>
        <n v="447"/>
        <n v="3404"/>
        <n v="458"/>
        <n v="544"/>
        <n v="3820"/>
        <n v="2433"/>
        <n v="2124"/>
        <n v="982"/>
        <n v="1971"/>
        <n v="818"/>
        <n v="748"/>
        <n v="1695"/>
        <n v="130"/>
        <n v="841"/>
        <n v="770"/>
        <n v="1616"/>
        <n v="614"/>
        <n v="1092"/>
        <n v="945"/>
        <n v="1048"/>
        <n v="1802"/>
        <n v="2139"/>
        <n v="2217"/>
        <n v="2896"/>
        <n v="429"/>
        <n v="594"/>
        <n v="3912"/>
        <n v="740"/>
        <n v="1904"/>
        <n v="2648"/>
        <n v="1268"/>
        <n v="884"/>
        <n v="1878"/>
        <n v="1864"/>
        <n v="434"/>
      </sharedItems>
    </cacheField>
    <cacheField name="City" numFmtId="0">
      <sharedItems count="4">
        <s v="IRBID"/>
        <s v="ZARQA"/>
        <s v="AQABA"/>
        <s v="AMMA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">
  <r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</r>
  <r>
    <x v="2"/>
    <x v="2"/>
    <x v="0"/>
    <x v="2"/>
    <x v="1"/>
    <x v="2"/>
    <x v="2"/>
    <x v="2"/>
    <x v="2"/>
  </r>
  <r>
    <x v="3"/>
    <x v="3"/>
    <x v="0"/>
    <x v="1"/>
    <x v="0"/>
    <x v="1"/>
    <x v="3"/>
    <x v="3"/>
    <x v="3"/>
  </r>
  <r>
    <x v="4"/>
    <x v="4"/>
    <x v="0"/>
    <x v="1"/>
    <x v="1"/>
    <x v="2"/>
    <x v="4"/>
    <x v="4"/>
    <x v="3"/>
  </r>
  <r>
    <x v="5"/>
    <x v="5"/>
    <x v="0"/>
    <x v="2"/>
    <x v="1"/>
    <x v="2"/>
    <x v="5"/>
    <x v="5"/>
    <x v="0"/>
  </r>
  <r>
    <x v="6"/>
    <x v="6"/>
    <x v="0"/>
    <x v="1"/>
    <x v="1"/>
    <x v="2"/>
    <x v="6"/>
    <x v="6"/>
    <x v="3"/>
  </r>
  <r>
    <x v="7"/>
    <x v="7"/>
    <x v="0"/>
    <x v="0"/>
    <x v="0"/>
    <x v="0"/>
    <x v="7"/>
    <x v="7"/>
    <x v="1"/>
  </r>
  <r>
    <x v="8"/>
    <x v="8"/>
    <x v="0"/>
    <x v="2"/>
    <x v="0"/>
    <x v="2"/>
    <x v="8"/>
    <x v="8"/>
    <x v="0"/>
  </r>
  <r>
    <x v="9"/>
    <x v="9"/>
    <x v="0"/>
    <x v="3"/>
    <x v="0"/>
    <x v="2"/>
    <x v="9"/>
    <x v="9"/>
    <x v="1"/>
  </r>
  <r>
    <x v="10"/>
    <x v="10"/>
    <x v="0"/>
    <x v="0"/>
    <x v="0"/>
    <x v="3"/>
    <x v="10"/>
    <x v="10"/>
    <x v="0"/>
  </r>
  <r>
    <x v="11"/>
    <x v="11"/>
    <x v="0"/>
    <x v="3"/>
    <x v="0"/>
    <x v="3"/>
    <x v="11"/>
    <x v="11"/>
    <x v="2"/>
  </r>
  <r>
    <x v="12"/>
    <x v="12"/>
    <x v="0"/>
    <x v="3"/>
    <x v="1"/>
    <x v="0"/>
    <x v="12"/>
    <x v="12"/>
    <x v="3"/>
  </r>
  <r>
    <x v="13"/>
    <x v="13"/>
    <x v="0"/>
    <x v="4"/>
    <x v="0"/>
    <x v="2"/>
    <x v="13"/>
    <x v="13"/>
    <x v="0"/>
  </r>
  <r>
    <x v="14"/>
    <x v="14"/>
    <x v="0"/>
    <x v="0"/>
    <x v="1"/>
    <x v="0"/>
    <x v="14"/>
    <x v="14"/>
    <x v="0"/>
  </r>
  <r>
    <x v="15"/>
    <x v="15"/>
    <x v="0"/>
    <x v="1"/>
    <x v="0"/>
    <x v="3"/>
    <x v="15"/>
    <x v="15"/>
    <x v="0"/>
  </r>
  <r>
    <x v="16"/>
    <x v="16"/>
    <x v="0"/>
    <x v="5"/>
    <x v="0"/>
    <x v="2"/>
    <x v="16"/>
    <x v="16"/>
    <x v="0"/>
  </r>
  <r>
    <x v="17"/>
    <x v="17"/>
    <x v="0"/>
    <x v="0"/>
    <x v="0"/>
    <x v="2"/>
    <x v="17"/>
    <x v="17"/>
    <x v="0"/>
  </r>
  <r>
    <x v="18"/>
    <x v="18"/>
    <x v="0"/>
    <x v="4"/>
    <x v="1"/>
    <x v="0"/>
    <x v="18"/>
    <x v="18"/>
    <x v="1"/>
  </r>
  <r>
    <x v="19"/>
    <x v="19"/>
    <x v="0"/>
    <x v="3"/>
    <x v="1"/>
    <x v="3"/>
    <x v="19"/>
    <x v="19"/>
    <x v="3"/>
  </r>
  <r>
    <x v="20"/>
    <x v="20"/>
    <x v="0"/>
    <x v="1"/>
    <x v="0"/>
    <x v="2"/>
    <x v="20"/>
    <x v="20"/>
    <x v="1"/>
  </r>
  <r>
    <x v="21"/>
    <x v="21"/>
    <x v="0"/>
    <x v="0"/>
    <x v="1"/>
    <x v="0"/>
    <x v="21"/>
    <x v="21"/>
    <x v="2"/>
  </r>
  <r>
    <x v="22"/>
    <x v="22"/>
    <x v="0"/>
    <x v="5"/>
    <x v="1"/>
    <x v="3"/>
    <x v="22"/>
    <x v="22"/>
    <x v="0"/>
  </r>
  <r>
    <x v="23"/>
    <x v="23"/>
    <x v="0"/>
    <x v="5"/>
    <x v="1"/>
    <x v="0"/>
    <x v="23"/>
    <x v="23"/>
    <x v="3"/>
  </r>
  <r>
    <x v="24"/>
    <x v="24"/>
    <x v="0"/>
    <x v="2"/>
    <x v="1"/>
    <x v="1"/>
    <x v="24"/>
    <x v="24"/>
    <x v="0"/>
  </r>
  <r>
    <x v="25"/>
    <x v="25"/>
    <x v="0"/>
    <x v="2"/>
    <x v="1"/>
    <x v="2"/>
    <x v="25"/>
    <x v="25"/>
    <x v="3"/>
  </r>
  <r>
    <x v="26"/>
    <x v="26"/>
    <x v="1"/>
    <x v="4"/>
    <x v="1"/>
    <x v="1"/>
    <x v="15"/>
    <x v="26"/>
    <x v="1"/>
  </r>
  <r>
    <x v="27"/>
    <x v="27"/>
    <x v="1"/>
    <x v="0"/>
    <x v="0"/>
    <x v="3"/>
    <x v="26"/>
    <x v="27"/>
    <x v="3"/>
  </r>
  <r>
    <x v="28"/>
    <x v="28"/>
    <x v="1"/>
    <x v="0"/>
    <x v="0"/>
    <x v="1"/>
    <x v="27"/>
    <x v="28"/>
    <x v="2"/>
  </r>
  <r>
    <x v="29"/>
    <x v="29"/>
    <x v="1"/>
    <x v="3"/>
    <x v="1"/>
    <x v="1"/>
    <x v="28"/>
    <x v="29"/>
    <x v="2"/>
  </r>
  <r>
    <x v="30"/>
    <x v="30"/>
    <x v="1"/>
    <x v="3"/>
    <x v="0"/>
    <x v="3"/>
    <x v="29"/>
    <x v="30"/>
    <x v="3"/>
  </r>
  <r>
    <x v="31"/>
    <x v="31"/>
    <x v="1"/>
    <x v="3"/>
    <x v="0"/>
    <x v="0"/>
    <x v="30"/>
    <x v="31"/>
    <x v="3"/>
  </r>
  <r>
    <x v="32"/>
    <x v="32"/>
    <x v="1"/>
    <x v="2"/>
    <x v="0"/>
    <x v="1"/>
    <x v="31"/>
    <x v="32"/>
    <x v="3"/>
  </r>
  <r>
    <x v="33"/>
    <x v="33"/>
    <x v="1"/>
    <x v="0"/>
    <x v="0"/>
    <x v="0"/>
    <x v="32"/>
    <x v="33"/>
    <x v="3"/>
  </r>
  <r>
    <x v="34"/>
    <x v="34"/>
    <x v="1"/>
    <x v="0"/>
    <x v="1"/>
    <x v="1"/>
    <x v="33"/>
    <x v="34"/>
    <x v="2"/>
  </r>
  <r>
    <x v="35"/>
    <x v="35"/>
    <x v="1"/>
    <x v="5"/>
    <x v="0"/>
    <x v="0"/>
    <x v="34"/>
    <x v="35"/>
    <x v="0"/>
  </r>
  <r>
    <x v="36"/>
    <x v="36"/>
    <x v="1"/>
    <x v="2"/>
    <x v="0"/>
    <x v="3"/>
    <x v="35"/>
    <x v="36"/>
    <x v="3"/>
  </r>
  <r>
    <x v="37"/>
    <x v="37"/>
    <x v="1"/>
    <x v="1"/>
    <x v="1"/>
    <x v="1"/>
    <x v="36"/>
    <x v="37"/>
    <x v="3"/>
  </r>
  <r>
    <x v="38"/>
    <x v="38"/>
    <x v="1"/>
    <x v="2"/>
    <x v="1"/>
    <x v="3"/>
    <x v="37"/>
    <x v="38"/>
    <x v="2"/>
  </r>
  <r>
    <x v="39"/>
    <x v="39"/>
    <x v="1"/>
    <x v="1"/>
    <x v="0"/>
    <x v="1"/>
    <x v="38"/>
    <x v="39"/>
    <x v="2"/>
  </r>
  <r>
    <x v="40"/>
    <x v="40"/>
    <x v="1"/>
    <x v="5"/>
    <x v="0"/>
    <x v="3"/>
    <x v="39"/>
    <x v="40"/>
    <x v="1"/>
  </r>
  <r>
    <x v="41"/>
    <x v="41"/>
    <x v="1"/>
    <x v="4"/>
    <x v="0"/>
    <x v="3"/>
    <x v="40"/>
    <x v="41"/>
    <x v="3"/>
  </r>
  <r>
    <x v="42"/>
    <x v="42"/>
    <x v="1"/>
    <x v="0"/>
    <x v="0"/>
    <x v="1"/>
    <x v="41"/>
    <x v="42"/>
    <x v="1"/>
  </r>
  <r>
    <x v="43"/>
    <x v="43"/>
    <x v="1"/>
    <x v="5"/>
    <x v="0"/>
    <x v="1"/>
    <x v="42"/>
    <x v="43"/>
    <x v="2"/>
  </r>
  <r>
    <x v="44"/>
    <x v="44"/>
    <x v="1"/>
    <x v="0"/>
    <x v="0"/>
    <x v="1"/>
    <x v="43"/>
    <x v="44"/>
    <x v="2"/>
  </r>
  <r>
    <x v="45"/>
    <x v="45"/>
    <x v="1"/>
    <x v="3"/>
    <x v="1"/>
    <x v="2"/>
    <x v="44"/>
    <x v="45"/>
    <x v="0"/>
  </r>
  <r>
    <x v="46"/>
    <x v="46"/>
    <x v="1"/>
    <x v="4"/>
    <x v="0"/>
    <x v="0"/>
    <x v="45"/>
    <x v="46"/>
    <x v="3"/>
  </r>
  <r>
    <x v="47"/>
    <x v="47"/>
    <x v="1"/>
    <x v="4"/>
    <x v="0"/>
    <x v="2"/>
    <x v="46"/>
    <x v="47"/>
    <x v="1"/>
  </r>
  <r>
    <x v="48"/>
    <x v="48"/>
    <x v="1"/>
    <x v="5"/>
    <x v="1"/>
    <x v="2"/>
    <x v="47"/>
    <x v="48"/>
    <x v="2"/>
  </r>
  <r>
    <x v="49"/>
    <x v="49"/>
    <x v="1"/>
    <x v="4"/>
    <x v="1"/>
    <x v="3"/>
    <x v="48"/>
    <x v="49"/>
    <x v="2"/>
  </r>
  <r>
    <x v="50"/>
    <x v="50"/>
    <x v="1"/>
    <x v="1"/>
    <x v="1"/>
    <x v="1"/>
    <x v="5"/>
    <x v="50"/>
    <x v="1"/>
  </r>
  <r>
    <x v="51"/>
    <x v="51"/>
    <x v="1"/>
    <x v="4"/>
    <x v="1"/>
    <x v="0"/>
    <x v="49"/>
    <x v="51"/>
    <x v="0"/>
  </r>
  <r>
    <x v="52"/>
    <x v="52"/>
    <x v="1"/>
    <x v="0"/>
    <x v="0"/>
    <x v="3"/>
    <x v="50"/>
    <x v="52"/>
    <x v="2"/>
  </r>
  <r>
    <x v="53"/>
    <x v="53"/>
    <x v="1"/>
    <x v="0"/>
    <x v="0"/>
    <x v="2"/>
    <x v="51"/>
    <x v="53"/>
    <x v="3"/>
  </r>
  <r>
    <x v="54"/>
    <x v="54"/>
    <x v="1"/>
    <x v="0"/>
    <x v="0"/>
    <x v="1"/>
    <x v="52"/>
    <x v="33"/>
    <x v="2"/>
  </r>
  <r>
    <x v="55"/>
    <x v="55"/>
    <x v="2"/>
    <x v="0"/>
    <x v="0"/>
    <x v="3"/>
    <x v="53"/>
    <x v="54"/>
    <x v="3"/>
  </r>
  <r>
    <x v="56"/>
    <x v="56"/>
    <x v="2"/>
    <x v="1"/>
    <x v="0"/>
    <x v="1"/>
    <x v="54"/>
    <x v="55"/>
    <x v="1"/>
  </r>
  <r>
    <x v="57"/>
    <x v="57"/>
    <x v="2"/>
    <x v="2"/>
    <x v="0"/>
    <x v="3"/>
    <x v="3"/>
    <x v="56"/>
    <x v="3"/>
  </r>
  <r>
    <x v="58"/>
    <x v="58"/>
    <x v="2"/>
    <x v="3"/>
    <x v="1"/>
    <x v="1"/>
    <x v="55"/>
    <x v="57"/>
    <x v="1"/>
  </r>
  <r>
    <x v="59"/>
    <x v="59"/>
    <x v="2"/>
    <x v="5"/>
    <x v="0"/>
    <x v="2"/>
    <x v="56"/>
    <x v="58"/>
    <x v="3"/>
  </r>
  <r>
    <x v="60"/>
    <x v="60"/>
    <x v="2"/>
    <x v="0"/>
    <x v="1"/>
    <x v="0"/>
    <x v="57"/>
    <x v="59"/>
    <x v="1"/>
  </r>
  <r>
    <x v="61"/>
    <x v="61"/>
    <x v="2"/>
    <x v="4"/>
    <x v="1"/>
    <x v="2"/>
    <x v="58"/>
    <x v="60"/>
    <x v="3"/>
  </r>
  <r>
    <x v="62"/>
    <x v="62"/>
    <x v="2"/>
    <x v="0"/>
    <x v="0"/>
    <x v="0"/>
    <x v="59"/>
    <x v="61"/>
    <x v="0"/>
  </r>
  <r>
    <x v="63"/>
    <x v="63"/>
    <x v="2"/>
    <x v="4"/>
    <x v="1"/>
    <x v="1"/>
    <x v="60"/>
    <x v="62"/>
    <x v="3"/>
  </r>
  <r>
    <x v="64"/>
    <x v="64"/>
    <x v="2"/>
    <x v="3"/>
    <x v="0"/>
    <x v="3"/>
    <x v="18"/>
    <x v="63"/>
    <x v="3"/>
  </r>
  <r>
    <x v="65"/>
    <x v="65"/>
    <x v="2"/>
    <x v="3"/>
    <x v="1"/>
    <x v="2"/>
    <x v="61"/>
    <x v="64"/>
    <x v="0"/>
  </r>
  <r>
    <x v="66"/>
    <x v="66"/>
    <x v="2"/>
    <x v="3"/>
    <x v="0"/>
    <x v="0"/>
    <x v="62"/>
    <x v="65"/>
    <x v="2"/>
  </r>
  <r>
    <x v="67"/>
    <x v="67"/>
    <x v="2"/>
    <x v="4"/>
    <x v="1"/>
    <x v="2"/>
    <x v="63"/>
    <x v="66"/>
    <x v="2"/>
  </r>
  <r>
    <x v="68"/>
    <x v="68"/>
    <x v="2"/>
    <x v="0"/>
    <x v="0"/>
    <x v="0"/>
    <x v="64"/>
    <x v="67"/>
    <x v="3"/>
  </r>
  <r>
    <x v="69"/>
    <x v="69"/>
    <x v="2"/>
    <x v="3"/>
    <x v="0"/>
    <x v="2"/>
    <x v="65"/>
    <x v="68"/>
    <x v="0"/>
  </r>
  <r>
    <x v="70"/>
    <x v="70"/>
    <x v="2"/>
    <x v="1"/>
    <x v="0"/>
    <x v="0"/>
    <x v="66"/>
    <x v="69"/>
    <x v="3"/>
  </r>
  <r>
    <x v="71"/>
    <x v="71"/>
    <x v="2"/>
    <x v="4"/>
    <x v="0"/>
    <x v="0"/>
    <x v="67"/>
    <x v="70"/>
    <x v="1"/>
  </r>
  <r>
    <x v="72"/>
    <x v="72"/>
    <x v="2"/>
    <x v="4"/>
    <x v="0"/>
    <x v="1"/>
    <x v="68"/>
    <x v="71"/>
    <x v="1"/>
  </r>
  <r>
    <x v="73"/>
    <x v="73"/>
    <x v="2"/>
    <x v="0"/>
    <x v="1"/>
    <x v="0"/>
    <x v="69"/>
    <x v="56"/>
    <x v="3"/>
  </r>
  <r>
    <x v="74"/>
    <x v="74"/>
    <x v="2"/>
    <x v="4"/>
    <x v="1"/>
    <x v="1"/>
    <x v="70"/>
    <x v="72"/>
    <x v="2"/>
  </r>
  <r>
    <x v="75"/>
    <x v="75"/>
    <x v="2"/>
    <x v="4"/>
    <x v="1"/>
    <x v="0"/>
    <x v="71"/>
    <x v="73"/>
    <x v="2"/>
  </r>
  <r>
    <x v="76"/>
    <x v="76"/>
    <x v="2"/>
    <x v="3"/>
    <x v="0"/>
    <x v="3"/>
    <x v="72"/>
    <x v="74"/>
    <x v="3"/>
  </r>
  <r>
    <x v="77"/>
    <x v="77"/>
    <x v="2"/>
    <x v="0"/>
    <x v="1"/>
    <x v="3"/>
    <x v="73"/>
    <x v="75"/>
    <x v="3"/>
  </r>
  <r>
    <x v="78"/>
    <x v="78"/>
    <x v="2"/>
    <x v="3"/>
    <x v="0"/>
    <x v="3"/>
    <x v="74"/>
    <x v="76"/>
    <x v="1"/>
  </r>
  <r>
    <x v="79"/>
    <x v="79"/>
    <x v="2"/>
    <x v="3"/>
    <x v="0"/>
    <x v="0"/>
    <x v="29"/>
    <x v="77"/>
    <x v="2"/>
  </r>
  <r>
    <x v="80"/>
    <x v="80"/>
    <x v="2"/>
    <x v="0"/>
    <x v="1"/>
    <x v="1"/>
    <x v="75"/>
    <x v="78"/>
    <x v="3"/>
  </r>
  <r>
    <x v="81"/>
    <x v="81"/>
    <x v="2"/>
    <x v="5"/>
    <x v="1"/>
    <x v="1"/>
    <x v="76"/>
    <x v="79"/>
    <x v="1"/>
  </r>
  <r>
    <x v="82"/>
    <x v="82"/>
    <x v="2"/>
    <x v="3"/>
    <x v="0"/>
    <x v="0"/>
    <x v="77"/>
    <x v="80"/>
    <x v="2"/>
  </r>
  <r>
    <x v="83"/>
    <x v="83"/>
    <x v="2"/>
    <x v="1"/>
    <x v="1"/>
    <x v="3"/>
    <x v="70"/>
    <x v="81"/>
    <x v="0"/>
  </r>
  <r>
    <x v="84"/>
    <x v="84"/>
    <x v="2"/>
    <x v="1"/>
    <x v="0"/>
    <x v="3"/>
    <x v="78"/>
    <x v="82"/>
    <x v="1"/>
  </r>
  <r>
    <x v="85"/>
    <x v="85"/>
    <x v="2"/>
    <x v="4"/>
    <x v="0"/>
    <x v="1"/>
    <x v="79"/>
    <x v="83"/>
    <x v="2"/>
  </r>
  <r>
    <x v="86"/>
    <x v="86"/>
    <x v="3"/>
    <x v="1"/>
    <x v="0"/>
    <x v="3"/>
    <x v="80"/>
    <x v="84"/>
    <x v="2"/>
  </r>
  <r>
    <x v="87"/>
    <x v="87"/>
    <x v="3"/>
    <x v="4"/>
    <x v="0"/>
    <x v="2"/>
    <x v="81"/>
    <x v="85"/>
    <x v="1"/>
  </r>
  <r>
    <x v="88"/>
    <x v="88"/>
    <x v="3"/>
    <x v="5"/>
    <x v="0"/>
    <x v="1"/>
    <x v="82"/>
    <x v="86"/>
    <x v="0"/>
  </r>
  <r>
    <x v="89"/>
    <x v="89"/>
    <x v="3"/>
    <x v="0"/>
    <x v="1"/>
    <x v="3"/>
    <x v="83"/>
    <x v="87"/>
    <x v="1"/>
  </r>
  <r>
    <x v="90"/>
    <x v="90"/>
    <x v="3"/>
    <x v="0"/>
    <x v="1"/>
    <x v="1"/>
    <x v="84"/>
    <x v="88"/>
    <x v="2"/>
  </r>
  <r>
    <x v="91"/>
    <x v="91"/>
    <x v="3"/>
    <x v="0"/>
    <x v="0"/>
    <x v="2"/>
    <x v="85"/>
    <x v="89"/>
    <x v="3"/>
  </r>
  <r>
    <x v="92"/>
    <x v="92"/>
    <x v="3"/>
    <x v="1"/>
    <x v="0"/>
    <x v="1"/>
    <x v="86"/>
    <x v="90"/>
    <x v="3"/>
  </r>
  <r>
    <x v="93"/>
    <x v="93"/>
    <x v="3"/>
    <x v="5"/>
    <x v="1"/>
    <x v="1"/>
    <x v="87"/>
    <x v="91"/>
    <x v="1"/>
  </r>
  <r>
    <x v="94"/>
    <x v="94"/>
    <x v="3"/>
    <x v="1"/>
    <x v="1"/>
    <x v="1"/>
    <x v="88"/>
    <x v="92"/>
    <x v="2"/>
  </r>
  <r>
    <x v="95"/>
    <x v="95"/>
    <x v="3"/>
    <x v="1"/>
    <x v="0"/>
    <x v="1"/>
    <x v="89"/>
    <x v="93"/>
    <x v="3"/>
  </r>
  <r>
    <x v="96"/>
    <x v="96"/>
    <x v="3"/>
    <x v="5"/>
    <x v="1"/>
    <x v="2"/>
    <x v="90"/>
    <x v="94"/>
    <x v="2"/>
  </r>
  <r>
    <x v="97"/>
    <x v="97"/>
    <x v="3"/>
    <x v="5"/>
    <x v="0"/>
    <x v="0"/>
    <x v="91"/>
    <x v="13"/>
    <x v="1"/>
  </r>
  <r>
    <x v="98"/>
    <x v="98"/>
    <x v="3"/>
    <x v="5"/>
    <x v="1"/>
    <x v="1"/>
    <x v="92"/>
    <x v="95"/>
    <x v="3"/>
  </r>
  <r>
    <x v="99"/>
    <x v="99"/>
    <x v="3"/>
    <x v="5"/>
    <x v="0"/>
    <x v="1"/>
    <x v="93"/>
    <x v="96"/>
    <x v="2"/>
  </r>
  <r>
    <x v="100"/>
    <x v="100"/>
    <x v="3"/>
    <x v="0"/>
    <x v="1"/>
    <x v="3"/>
    <x v="94"/>
    <x v="97"/>
    <x v="3"/>
  </r>
  <r>
    <x v="101"/>
    <x v="101"/>
    <x v="3"/>
    <x v="2"/>
    <x v="0"/>
    <x v="1"/>
    <x v="24"/>
    <x v="24"/>
    <x v="1"/>
  </r>
  <r>
    <x v="102"/>
    <x v="102"/>
    <x v="3"/>
    <x v="2"/>
    <x v="1"/>
    <x v="3"/>
    <x v="95"/>
    <x v="98"/>
    <x v="2"/>
  </r>
  <r>
    <x v="103"/>
    <x v="103"/>
    <x v="3"/>
    <x v="5"/>
    <x v="1"/>
    <x v="0"/>
    <x v="96"/>
    <x v="99"/>
    <x v="3"/>
  </r>
  <r>
    <x v="104"/>
    <x v="104"/>
    <x v="3"/>
    <x v="2"/>
    <x v="0"/>
    <x v="2"/>
    <x v="97"/>
    <x v="100"/>
    <x v="1"/>
  </r>
  <r>
    <x v="105"/>
    <x v="105"/>
    <x v="3"/>
    <x v="2"/>
    <x v="1"/>
    <x v="2"/>
    <x v="98"/>
    <x v="101"/>
    <x v="3"/>
  </r>
  <r>
    <x v="106"/>
    <x v="106"/>
    <x v="3"/>
    <x v="5"/>
    <x v="0"/>
    <x v="0"/>
    <x v="99"/>
    <x v="102"/>
    <x v="3"/>
  </r>
  <r>
    <x v="107"/>
    <x v="107"/>
    <x v="3"/>
    <x v="2"/>
    <x v="1"/>
    <x v="2"/>
    <x v="100"/>
    <x v="103"/>
    <x v="0"/>
  </r>
  <r>
    <x v="108"/>
    <x v="108"/>
    <x v="3"/>
    <x v="1"/>
    <x v="0"/>
    <x v="0"/>
    <x v="101"/>
    <x v="104"/>
    <x v="0"/>
  </r>
  <r>
    <x v="109"/>
    <x v="109"/>
    <x v="3"/>
    <x v="4"/>
    <x v="1"/>
    <x v="0"/>
    <x v="102"/>
    <x v="105"/>
    <x v="1"/>
  </r>
  <r>
    <x v="110"/>
    <x v="110"/>
    <x v="3"/>
    <x v="4"/>
    <x v="0"/>
    <x v="0"/>
    <x v="103"/>
    <x v="106"/>
    <x v="0"/>
  </r>
  <r>
    <x v="111"/>
    <x v="111"/>
    <x v="3"/>
    <x v="5"/>
    <x v="1"/>
    <x v="2"/>
    <x v="104"/>
    <x v="107"/>
    <x v="1"/>
  </r>
  <r>
    <x v="112"/>
    <x v="112"/>
    <x v="3"/>
    <x v="0"/>
    <x v="0"/>
    <x v="3"/>
    <x v="105"/>
    <x v="108"/>
    <x v="0"/>
  </r>
  <r>
    <x v="113"/>
    <x v="113"/>
    <x v="3"/>
    <x v="5"/>
    <x v="1"/>
    <x v="0"/>
    <x v="106"/>
    <x v="109"/>
    <x v="3"/>
  </r>
  <r>
    <x v="114"/>
    <x v="114"/>
    <x v="3"/>
    <x v="0"/>
    <x v="0"/>
    <x v="1"/>
    <x v="107"/>
    <x v="1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 of Sales by Cit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showHeaders="0" chartFormat="4">
  <location ref="A2:B7" firstHeaderRow="1" firstDataRow="1" firstDataCol="1"/>
  <pivotFields count="9">
    <pivotField compact="0" showAll="0"/>
    <pivotField compact="0" numFmtId="179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>
      <items count="5">
        <item x="3"/>
        <item x="2"/>
        <item x="0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pivotTableStyleInfo name="PivotStylePreset7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Average by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2:I8" firstHeaderRow="1" firstDataRow="2" firstDataCol="1"/>
  <pivotFields count="9">
    <pivotField compact="0" showAll="0"/>
    <pivotField compact="0" numFmtId="179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dataField="1" compact="0" showAll="0"/>
    <pivotField axis="axisRow" compact="0" showAll="0">
      <items count="5">
        <item x="3"/>
        <item x="2"/>
        <item x="0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Sales" fld="7" subtotal="average" baseField="0" baseItem="0"/>
  </dataFields>
  <formats count="4">
    <format dxfId="0">
      <pivotArea collapsedLevelsAreSubtotals="1" fieldPosition="0">
        <references count="2">
          <reference field="8" count="1" selected="0">
            <x v="1"/>
          </reference>
          <reference field="4" count="1" selected="0">
            <x v="1"/>
          </reference>
        </references>
      </pivotArea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</formats>
  <pivotTableStyleInfo name="PivotStylePreset7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showHeaders="0" chartFormat="2">
  <location ref="B13:C16" firstHeaderRow="1" firstDataRow="1" firstDataCol="1"/>
  <pivotFields count="9">
    <pivotField compact="0" showAll="0"/>
    <pivotField compact="0" numFmtId="179" showAll="0"/>
    <pivotField compact="0" showAll="0"/>
    <pivotField compact="0" showAll="0">
      <items count="7">
        <item x="5"/>
        <item x="0"/>
        <item x="2"/>
        <item x="3"/>
        <item x="1"/>
        <item x="4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Quantity" fld="5" baseField="0" baseItem="0"/>
  </dataFields>
  <pivotTableStyleInfo name="PivotStylePreset7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showHeaders="0" chartFormat="2">
  <location ref="I12:J17" firstHeaderRow="1" firstDataRow="1" firstDataCol="1"/>
  <pivotFields count="9">
    <pivotField compact="0" showAll="0"/>
    <pivotField compact="0" numFmtId="179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pivotTableStyleInfo name="PivotStylePreset7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I116" totalsRowShown="0">
  <autoFilter ref="A1:I116">
    <extLst/>
  </autoFilter>
  <tableColumns count="9">
    <tableColumn id="1" name="Order ID"/>
    <tableColumn id="2" name="Date" dataDxfId="4"/>
    <tableColumn id="3" name="Month"/>
    <tableColumn id="4" name="Customer"/>
    <tableColumn id="5" name="Category"/>
    <tableColumn id="6" name="Quantity"/>
    <tableColumn id="7" name="Price"/>
    <tableColumn id="8" name="Sales"/>
    <tableColumn id="9" name="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6"/>
  <sheetViews>
    <sheetView workbookViewId="0">
      <selection activeCell="D10" sqref="D10"/>
    </sheetView>
  </sheetViews>
  <sheetFormatPr defaultColWidth="9" defaultRowHeight="14.5"/>
  <cols>
    <col min="1" max="1" width="12.9090909090909" customWidth="1"/>
    <col min="2" max="2" width="19.4545454545455" customWidth="1"/>
    <col min="3" max="4" width="12.2727272727273" customWidth="1"/>
    <col min="5" max="5" width="13.3636363636364" customWidth="1"/>
    <col min="6" max="6" width="13.4545454545455" customWidth="1"/>
    <col min="7" max="7" width="16.0909090909091" customWidth="1"/>
    <col min="8" max="9" width="14.7272727272727" customWidth="1"/>
    <col min="12" max="12" width="13.4545454545455" customWidth="1"/>
    <col min="13" max="13" width="12.6363636363636" customWidth="1"/>
    <col min="16" max="16" width="13.9090909090909" customWidth="1"/>
    <col min="17" max="17" width="15" customWidth="1"/>
  </cols>
  <sheetData>
    <row r="1" s="2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3">
      <c r="A2">
        <v>1001</v>
      </c>
      <c r="B2" s="4">
        <v>45292</v>
      </c>
      <c r="C2">
        <f>MONTH(B2)</f>
        <v>1</v>
      </c>
      <c r="D2" t="s">
        <v>9</v>
      </c>
      <c r="E2" t="s">
        <v>10</v>
      </c>
      <c r="F2">
        <v>4</v>
      </c>
      <c r="G2">
        <v>926</v>
      </c>
      <c r="H2">
        <f>F2*G2</f>
        <v>3704</v>
      </c>
      <c r="I2" t="s">
        <v>11</v>
      </c>
      <c r="K2" s="5"/>
      <c r="L2" s="5"/>
      <c r="M2" s="5"/>
    </row>
    <row r="3" spans="1:13">
      <c r="A3">
        <v>1002</v>
      </c>
      <c r="B3" s="4">
        <v>45293</v>
      </c>
      <c r="C3">
        <f>MONTH(B3)</f>
        <v>1</v>
      </c>
      <c r="D3" t="s">
        <v>12</v>
      </c>
      <c r="E3" t="s">
        <v>13</v>
      </c>
      <c r="F3">
        <v>2</v>
      </c>
      <c r="G3">
        <v>933</v>
      </c>
      <c r="H3">
        <f>F3*G3</f>
        <v>1866</v>
      </c>
      <c r="I3" t="s">
        <v>14</v>
      </c>
      <c r="K3" s="6" t="s">
        <v>15</v>
      </c>
      <c r="L3" s="6" t="s">
        <v>16</v>
      </c>
      <c r="M3" s="6" t="s">
        <v>17</v>
      </c>
    </row>
    <row r="4" spans="1:13">
      <c r="A4">
        <v>1003</v>
      </c>
      <c r="B4" s="4">
        <v>45294</v>
      </c>
      <c r="C4">
        <f>MONTH(B4)</f>
        <v>1</v>
      </c>
      <c r="D4" t="s">
        <v>18</v>
      </c>
      <c r="E4" t="s">
        <v>13</v>
      </c>
      <c r="F4">
        <v>1</v>
      </c>
      <c r="G4">
        <v>399</v>
      </c>
      <c r="H4">
        <f>F4*G4</f>
        <v>399</v>
      </c>
      <c r="I4" t="s">
        <v>19</v>
      </c>
      <c r="K4" s="6">
        <f>MAX(G:G)</f>
        <v>978</v>
      </c>
      <c r="L4" s="6">
        <f>MIN(G:G)</f>
        <v>65</v>
      </c>
      <c r="M4" s="6">
        <f>COUNT(G:G)</f>
        <v>115</v>
      </c>
    </row>
    <row r="5" spans="1:9">
      <c r="A5">
        <v>1004</v>
      </c>
      <c r="B5" s="4">
        <v>45295</v>
      </c>
      <c r="C5">
        <f>MONTH(B5)</f>
        <v>1</v>
      </c>
      <c r="D5" t="s">
        <v>12</v>
      </c>
      <c r="E5" t="s">
        <v>10</v>
      </c>
      <c r="F5">
        <v>2</v>
      </c>
      <c r="G5">
        <v>96</v>
      </c>
      <c r="H5">
        <f>F5*G5</f>
        <v>192</v>
      </c>
      <c r="I5" t="s">
        <v>20</v>
      </c>
    </row>
    <row r="6" spans="1:9">
      <c r="A6">
        <v>1005</v>
      </c>
      <c r="B6" s="4">
        <v>45296</v>
      </c>
      <c r="C6">
        <f>MONTH(B6)</f>
        <v>1</v>
      </c>
      <c r="D6" t="s">
        <v>12</v>
      </c>
      <c r="E6" t="s">
        <v>13</v>
      </c>
      <c r="F6">
        <v>1</v>
      </c>
      <c r="G6">
        <v>916</v>
      </c>
      <c r="H6">
        <f>F6*G6</f>
        <v>916</v>
      </c>
      <c r="I6" t="s">
        <v>20</v>
      </c>
    </row>
    <row r="7" spans="1:17">
      <c r="A7">
        <v>1009</v>
      </c>
      <c r="B7" s="4">
        <v>45300</v>
      </c>
      <c r="C7">
        <f>MONTH(B7)</f>
        <v>1</v>
      </c>
      <c r="D7" t="s">
        <v>18</v>
      </c>
      <c r="E7" t="s">
        <v>13</v>
      </c>
      <c r="F7">
        <v>1</v>
      </c>
      <c r="G7">
        <v>705</v>
      </c>
      <c r="H7">
        <f>F7*G7</f>
        <v>705</v>
      </c>
      <c r="I7" t="s">
        <v>11</v>
      </c>
      <c r="K7" s="7" t="s">
        <v>8</v>
      </c>
      <c r="L7" s="7" t="s">
        <v>4</v>
      </c>
      <c r="M7" s="7" t="s">
        <v>21</v>
      </c>
      <c r="O7" s="7" t="s">
        <v>8</v>
      </c>
      <c r="P7" s="7" t="s">
        <v>4</v>
      </c>
      <c r="Q7" s="7" t="s">
        <v>22</v>
      </c>
    </row>
    <row r="8" spans="1:17">
      <c r="A8">
        <v>1010</v>
      </c>
      <c r="B8" s="4">
        <v>45301</v>
      </c>
      <c r="C8">
        <f>MONTH(B8)</f>
        <v>1</v>
      </c>
      <c r="D8" t="s">
        <v>12</v>
      </c>
      <c r="E8" t="s">
        <v>13</v>
      </c>
      <c r="F8">
        <v>1</v>
      </c>
      <c r="G8">
        <v>318</v>
      </c>
      <c r="H8">
        <f>F8*G8</f>
        <v>318</v>
      </c>
      <c r="I8" t="s">
        <v>20</v>
      </c>
      <c r="K8" s="6" t="s">
        <v>11</v>
      </c>
      <c r="L8" s="6" t="s">
        <v>13</v>
      </c>
      <c r="M8" s="6">
        <f>SUMIFS(G:G,E:E,E3,I:I,I2)</f>
        <v>5846</v>
      </c>
      <c r="O8" s="6" t="s">
        <v>11</v>
      </c>
      <c r="P8" s="6" t="s">
        <v>13</v>
      </c>
      <c r="Q8" s="9">
        <f>AVERAGEIFS(G:G,E:E,E3,I:I,I2)</f>
        <v>649.555555555556</v>
      </c>
    </row>
    <row r="9" spans="1:17">
      <c r="A9">
        <v>1011</v>
      </c>
      <c r="B9" s="4">
        <v>45302</v>
      </c>
      <c r="C9">
        <f>MONTH(B9)</f>
        <v>1</v>
      </c>
      <c r="D9" t="s">
        <v>9</v>
      </c>
      <c r="E9" t="s">
        <v>10</v>
      </c>
      <c r="F9">
        <v>4</v>
      </c>
      <c r="G9">
        <v>419</v>
      </c>
      <c r="H9">
        <f>F9*G9</f>
        <v>1676</v>
      </c>
      <c r="I9" t="s">
        <v>14</v>
      </c>
      <c r="K9" s="6" t="s">
        <v>14</v>
      </c>
      <c r="L9" s="6" t="s">
        <v>13</v>
      </c>
      <c r="M9" s="6">
        <f>SUMIFS(G:G,E:E,E4,I:I,I3)</f>
        <v>6104</v>
      </c>
      <c r="O9" s="6" t="s">
        <v>14</v>
      </c>
      <c r="P9" s="6" t="s">
        <v>13</v>
      </c>
      <c r="Q9" s="9">
        <f>AVERAGEIFS(G:G,E:E,E4,I:I,I3)</f>
        <v>554.909090909091</v>
      </c>
    </row>
    <row r="10" spans="1:17">
      <c r="A10">
        <v>1012</v>
      </c>
      <c r="B10" s="4">
        <v>45303</v>
      </c>
      <c r="C10">
        <f>MONTH(B10)</f>
        <v>1</v>
      </c>
      <c r="D10" t="s">
        <v>18</v>
      </c>
      <c r="E10" t="s">
        <v>10</v>
      </c>
      <c r="F10">
        <v>1</v>
      </c>
      <c r="G10">
        <v>685</v>
      </c>
      <c r="H10">
        <f>F10*G10</f>
        <v>685</v>
      </c>
      <c r="I10" t="s">
        <v>11</v>
      </c>
      <c r="K10" s="6" t="s">
        <v>19</v>
      </c>
      <c r="L10" s="6" t="s">
        <v>13</v>
      </c>
      <c r="M10" s="6">
        <f>SUMIFS(G:G,E:E,E3,I:I,I4)</f>
        <v>7948</v>
      </c>
      <c r="O10" s="6" t="s">
        <v>19</v>
      </c>
      <c r="P10" s="6" t="s">
        <v>13</v>
      </c>
      <c r="Q10" s="9">
        <f>AVERAGEIFS(G:G,E:E,E5,I:I,I4)</f>
        <v>578.230769230769</v>
      </c>
    </row>
    <row r="11" spans="1:17">
      <c r="A11">
        <v>1013</v>
      </c>
      <c r="B11" s="4">
        <v>45304</v>
      </c>
      <c r="C11">
        <f>MONTH(B11)</f>
        <v>1</v>
      </c>
      <c r="D11" t="s">
        <v>23</v>
      </c>
      <c r="E11" t="s">
        <v>10</v>
      </c>
      <c r="F11">
        <v>1</v>
      </c>
      <c r="G11">
        <v>155</v>
      </c>
      <c r="H11">
        <f>F11*G11</f>
        <v>155</v>
      </c>
      <c r="I11" t="s">
        <v>14</v>
      </c>
      <c r="K11" s="6" t="s">
        <v>20</v>
      </c>
      <c r="L11" s="6" t="s">
        <v>13</v>
      </c>
      <c r="M11" s="6">
        <f>SUMIFS(G:G,E:E,E6,I:I,I5)</f>
        <v>8426</v>
      </c>
      <c r="O11" s="6" t="s">
        <v>20</v>
      </c>
      <c r="P11" s="6" t="s">
        <v>13</v>
      </c>
      <c r="Q11" s="9">
        <f>AVERAGEIFS(G:G,E:E,E6,I:I,I5)</f>
        <v>495.647058823529</v>
      </c>
    </row>
    <row r="12" spans="1:9">
      <c r="A12">
        <v>1016</v>
      </c>
      <c r="B12" s="4">
        <v>45307</v>
      </c>
      <c r="C12">
        <f t="shared" ref="C12:C29" si="0">MONTH(B12)</f>
        <v>1</v>
      </c>
      <c r="D12" t="s">
        <v>9</v>
      </c>
      <c r="E12" t="s">
        <v>10</v>
      </c>
      <c r="F12">
        <v>3</v>
      </c>
      <c r="G12">
        <v>706</v>
      </c>
      <c r="H12">
        <f t="shared" ref="H12:H29" si="1">F12*G12</f>
        <v>2118</v>
      </c>
      <c r="I12" t="s">
        <v>11</v>
      </c>
    </row>
    <row r="13" spans="1:9">
      <c r="A13">
        <v>1017</v>
      </c>
      <c r="B13" s="4">
        <v>45308</v>
      </c>
      <c r="C13">
        <f t="shared" si="0"/>
        <v>1</v>
      </c>
      <c r="D13" t="s">
        <v>23</v>
      </c>
      <c r="E13" t="s">
        <v>10</v>
      </c>
      <c r="F13">
        <v>3</v>
      </c>
      <c r="G13">
        <v>169</v>
      </c>
      <c r="H13">
        <f t="shared" si="1"/>
        <v>507</v>
      </c>
      <c r="I13" t="s">
        <v>19</v>
      </c>
    </row>
    <row r="14" spans="1:17">
      <c r="A14">
        <v>1018</v>
      </c>
      <c r="B14" s="4">
        <v>45309</v>
      </c>
      <c r="C14">
        <f t="shared" si="0"/>
        <v>1</v>
      </c>
      <c r="D14" t="s">
        <v>23</v>
      </c>
      <c r="E14" t="s">
        <v>13</v>
      </c>
      <c r="F14">
        <v>4</v>
      </c>
      <c r="G14">
        <v>880</v>
      </c>
      <c r="H14">
        <f t="shared" si="1"/>
        <v>3520</v>
      </c>
      <c r="I14" t="s">
        <v>20</v>
      </c>
      <c r="K14" s="7" t="s">
        <v>8</v>
      </c>
      <c r="L14" s="7" t="s">
        <v>4</v>
      </c>
      <c r="M14" s="7" t="s">
        <v>21</v>
      </c>
      <c r="O14" s="8" t="s">
        <v>8</v>
      </c>
      <c r="P14" s="8" t="s">
        <v>4</v>
      </c>
      <c r="Q14" s="8" t="s">
        <v>22</v>
      </c>
    </row>
    <row r="15" spans="1:17">
      <c r="A15">
        <v>1019</v>
      </c>
      <c r="B15" s="4">
        <v>45310</v>
      </c>
      <c r="C15">
        <f t="shared" si="0"/>
        <v>1</v>
      </c>
      <c r="D15" t="s">
        <v>24</v>
      </c>
      <c r="E15" t="s">
        <v>10</v>
      </c>
      <c r="F15">
        <v>1</v>
      </c>
      <c r="G15">
        <v>836</v>
      </c>
      <c r="H15">
        <f t="shared" si="1"/>
        <v>836</v>
      </c>
      <c r="I15" t="s">
        <v>11</v>
      </c>
      <c r="K15" s="6" t="s">
        <v>11</v>
      </c>
      <c r="L15" s="6" t="s">
        <v>10</v>
      </c>
      <c r="M15" s="6">
        <f>SUMIFS(G:G,E:E,E2,I:I,I2)</f>
        <v>8187</v>
      </c>
      <c r="O15" s="6" t="s">
        <v>11</v>
      </c>
      <c r="P15" s="6" t="s">
        <v>10</v>
      </c>
      <c r="Q15" s="9">
        <f>AVERAGEIFS(G:G,E:E,E2,I:I,I2)</f>
        <v>584.785714285714</v>
      </c>
    </row>
    <row r="16" spans="1:17">
      <c r="A16">
        <v>1020</v>
      </c>
      <c r="B16" s="4">
        <v>45311</v>
      </c>
      <c r="C16">
        <f t="shared" si="0"/>
        <v>1</v>
      </c>
      <c r="D16" t="s">
        <v>9</v>
      </c>
      <c r="E16" t="s">
        <v>13</v>
      </c>
      <c r="F16">
        <v>4</v>
      </c>
      <c r="G16">
        <v>653</v>
      </c>
      <c r="H16">
        <f t="shared" si="1"/>
        <v>2612</v>
      </c>
      <c r="I16" t="s">
        <v>11</v>
      </c>
      <c r="K16" s="6" t="s">
        <v>14</v>
      </c>
      <c r="L16" s="6" t="s">
        <v>10</v>
      </c>
      <c r="M16" s="6">
        <f>SUMIFS(G:G,E:E,E3,I:I,I3)</f>
        <v>6104</v>
      </c>
      <c r="O16" s="6" t="s">
        <v>14</v>
      </c>
      <c r="P16" s="6" t="s">
        <v>10</v>
      </c>
      <c r="Q16" s="9">
        <f>AVERAGEIFS(G:G,E:E,E3,I:I,I3)</f>
        <v>554.909090909091</v>
      </c>
    </row>
    <row r="17" spans="1:17">
      <c r="A17">
        <v>1021</v>
      </c>
      <c r="B17" s="4">
        <v>45312</v>
      </c>
      <c r="C17">
        <f t="shared" si="0"/>
        <v>1</v>
      </c>
      <c r="D17" t="s">
        <v>12</v>
      </c>
      <c r="E17" t="s">
        <v>10</v>
      </c>
      <c r="F17">
        <v>3</v>
      </c>
      <c r="G17">
        <v>107</v>
      </c>
      <c r="H17">
        <f t="shared" si="1"/>
        <v>321</v>
      </c>
      <c r="I17" t="s">
        <v>11</v>
      </c>
      <c r="K17" s="6" t="s">
        <v>19</v>
      </c>
      <c r="L17" s="6" t="s">
        <v>10</v>
      </c>
      <c r="M17" s="6">
        <f>SUMIFS(G:G,E:E,E4,I:I,I4)</f>
        <v>7948</v>
      </c>
      <c r="O17" s="6" t="s">
        <v>19</v>
      </c>
      <c r="P17" s="6" t="s">
        <v>10</v>
      </c>
      <c r="Q17" s="9">
        <f>AVERAGEIFS(G:G,E:E,E4,I:I,I4)</f>
        <v>567.714285714286</v>
      </c>
    </row>
    <row r="18" spans="1:17">
      <c r="A18">
        <v>1022</v>
      </c>
      <c r="B18" s="4">
        <v>45313</v>
      </c>
      <c r="C18">
        <f t="shared" si="0"/>
        <v>1</v>
      </c>
      <c r="D18" t="s">
        <v>25</v>
      </c>
      <c r="E18" t="s">
        <v>10</v>
      </c>
      <c r="F18">
        <v>1</v>
      </c>
      <c r="G18">
        <v>395</v>
      </c>
      <c r="H18">
        <f t="shared" si="1"/>
        <v>395</v>
      </c>
      <c r="I18" t="s">
        <v>11</v>
      </c>
      <c r="K18" s="6" t="s">
        <v>20</v>
      </c>
      <c r="L18" s="6" t="s">
        <v>10</v>
      </c>
      <c r="M18" s="6">
        <f>SUMIFS(G:G,E:E,E5,I:I,I5)</f>
        <v>11268</v>
      </c>
      <c r="O18" s="6" t="s">
        <v>20</v>
      </c>
      <c r="P18" s="6" t="s">
        <v>10</v>
      </c>
      <c r="Q18" s="9">
        <f>AVERAGEIFS(G:G,E:E,E5,I:I,I5)</f>
        <v>536.571428571429</v>
      </c>
    </row>
    <row r="19" spans="1:9">
      <c r="A19">
        <v>1023</v>
      </c>
      <c r="B19" s="4">
        <v>45314</v>
      </c>
      <c r="C19">
        <f t="shared" si="0"/>
        <v>1</v>
      </c>
      <c r="D19" t="s">
        <v>9</v>
      </c>
      <c r="E19" t="s">
        <v>10</v>
      </c>
      <c r="F19">
        <v>1</v>
      </c>
      <c r="G19">
        <v>790</v>
      </c>
      <c r="H19">
        <f t="shared" si="1"/>
        <v>790</v>
      </c>
      <c r="I19" t="s">
        <v>11</v>
      </c>
    </row>
    <row r="20" spans="1:9">
      <c r="A20">
        <v>1024</v>
      </c>
      <c r="B20" s="4">
        <v>45315</v>
      </c>
      <c r="C20">
        <f t="shared" si="0"/>
        <v>1</v>
      </c>
      <c r="D20" t="s">
        <v>24</v>
      </c>
      <c r="E20" t="s">
        <v>13</v>
      </c>
      <c r="F20">
        <v>4</v>
      </c>
      <c r="G20">
        <v>523</v>
      </c>
      <c r="H20">
        <f t="shared" si="1"/>
        <v>2092</v>
      </c>
      <c r="I20" t="s">
        <v>14</v>
      </c>
    </row>
    <row r="21" spans="1:9">
      <c r="A21">
        <v>1025</v>
      </c>
      <c r="B21" s="4">
        <v>45316</v>
      </c>
      <c r="C21">
        <f t="shared" si="0"/>
        <v>1</v>
      </c>
      <c r="D21" t="s">
        <v>23</v>
      </c>
      <c r="E21" t="s">
        <v>13</v>
      </c>
      <c r="F21">
        <v>3</v>
      </c>
      <c r="G21">
        <v>166</v>
      </c>
      <c r="H21">
        <f t="shared" si="1"/>
        <v>498</v>
      </c>
      <c r="I21" t="s">
        <v>20</v>
      </c>
    </row>
    <row r="22" spans="1:9">
      <c r="A22">
        <v>1026</v>
      </c>
      <c r="B22" s="4">
        <v>45317</v>
      </c>
      <c r="C22">
        <f t="shared" si="0"/>
        <v>1</v>
      </c>
      <c r="D22" t="s">
        <v>12</v>
      </c>
      <c r="E22" t="s">
        <v>10</v>
      </c>
      <c r="F22">
        <v>1</v>
      </c>
      <c r="G22">
        <v>879</v>
      </c>
      <c r="H22">
        <f t="shared" si="1"/>
        <v>879</v>
      </c>
      <c r="I22" t="s">
        <v>14</v>
      </c>
    </row>
    <row r="23" spans="1:9">
      <c r="A23">
        <v>1027</v>
      </c>
      <c r="B23" s="4">
        <v>45318</v>
      </c>
      <c r="C23">
        <f t="shared" si="0"/>
        <v>1</v>
      </c>
      <c r="D23" t="s">
        <v>9</v>
      </c>
      <c r="E23" t="s">
        <v>13</v>
      </c>
      <c r="F23">
        <v>4</v>
      </c>
      <c r="G23">
        <v>840</v>
      </c>
      <c r="H23">
        <f t="shared" si="1"/>
        <v>3360</v>
      </c>
      <c r="I23" t="s">
        <v>19</v>
      </c>
    </row>
    <row r="24" spans="1:9">
      <c r="A24">
        <v>1028</v>
      </c>
      <c r="B24" s="4">
        <v>45319</v>
      </c>
      <c r="C24">
        <f t="shared" si="0"/>
        <v>1</v>
      </c>
      <c r="D24" t="s">
        <v>25</v>
      </c>
      <c r="E24" t="s">
        <v>13</v>
      </c>
      <c r="F24">
        <v>3</v>
      </c>
      <c r="G24">
        <v>176</v>
      </c>
      <c r="H24">
        <f t="shared" si="1"/>
        <v>528</v>
      </c>
      <c r="I24" t="s">
        <v>11</v>
      </c>
    </row>
    <row r="25" spans="1:9">
      <c r="A25">
        <v>1029</v>
      </c>
      <c r="B25" s="4">
        <v>45320</v>
      </c>
      <c r="C25">
        <f t="shared" si="0"/>
        <v>1</v>
      </c>
      <c r="D25" t="s">
        <v>25</v>
      </c>
      <c r="E25" t="s">
        <v>13</v>
      </c>
      <c r="F25">
        <v>4</v>
      </c>
      <c r="G25">
        <v>442</v>
      </c>
      <c r="H25">
        <f t="shared" si="1"/>
        <v>1768</v>
      </c>
      <c r="I25" t="s">
        <v>20</v>
      </c>
    </row>
    <row r="26" spans="1:9">
      <c r="A26">
        <v>1030</v>
      </c>
      <c r="B26" s="4">
        <v>45321</v>
      </c>
      <c r="C26">
        <f t="shared" si="0"/>
        <v>1</v>
      </c>
      <c r="D26" t="s">
        <v>18</v>
      </c>
      <c r="E26" t="s">
        <v>13</v>
      </c>
      <c r="F26">
        <v>2</v>
      </c>
      <c r="G26">
        <v>957</v>
      </c>
      <c r="H26">
        <f t="shared" si="1"/>
        <v>1914</v>
      </c>
      <c r="I26" t="s">
        <v>11</v>
      </c>
    </row>
    <row r="27" spans="1:9">
      <c r="A27">
        <v>1031</v>
      </c>
      <c r="B27" s="4">
        <v>45322</v>
      </c>
      <c r="C27">
        <f t="shared" si="0"/>
        <v>1</v>
      </c>
      <c r="D27" t="s">
        <v>18</v>
      </c>
      <c r="E27" t="s">
        <v>13</v>
      </c>
      <c r="F27">
        <v>1</v>
      </c>
      <c r="G27">
        <v>690</v>
      </c>
      <c r="H27">
        <f t="shared" si="1"/>
        <v>690</v>
      </c>
      <c r="I27" t="s">
        <v>20</v>
      </c>
    </row>
    <row r="28" spans="1:9">
      <c r="A28">
        <v>1032</v>
      </c>
      <c r="B28" s="4">
        <v>45323</v>
      </c>
      <c r="C28">
        <f t="shared" si="0"/>
        <v>2</v>
      </c>
      <c r="D28" t="s">
        <v>24</v>
      </c>
      <c r="E28" t="s">
        <v>13</v>
      </c>
      <c r="F28">
        <v>2</v>
      </c>
      <c r="G28">
        <v>107</v>
      </c>
      <c r="H28">
        <f t="shared" si="1"/>
        <v>214</v>
      </c>
      <c r="I28" t="s">
        <v>14</v>
      </c>
    </row>
    <row r="29" spans="1:9">
      <c r="A29">
        <v>1033</v>
      </c>
      <c r="B29" s="4">
        <v>45324</v>
      </c>
      <c r="C29">
        <f t="shared" si="0"/>
        <v>2</v>
      </c>
      <c r="D29" t="s">
        <v>9</v>
      </c>
      <c r="E29" t="s">
        <v>10</v>
      </c>
      <c r="F29">
        <v>3</v>
      </c>
      <c r="G29">
        <v>683</v>
      </c>
      <c r="H29">
        <f t="shared" si="1"/>
        <v>2049</v>
      </c>
      <c r="I29" t="s">
        <v>20</v>
      </c>
    </row>
    <row r="30" spans="1:9">
      <c r="A30">
        <v>1034</v>
      </c>
      <c r="B30" s="4">
        <v>45325</v>
      </c>
      <c r="C30">
        <f t="shared" ref="C30:C61" si="2">MONTH(B30)</f>
        <v>2</v>
      </c>
      <c r="D30" t="s">
        <v>9</v>
      </c>
      <c r="E30" t="s">
        <v>10</v>
      </c>
      <c r="F30">
        <v>2</v>
      </c>
      <c r="G30">
        <v>562</v>
      </c>
      <c r="H30">
        <f t="shared" ref="H30:H61" si="3">F30*G30</f>
        <v>1124</v>
      </c>
      <c r="I30" t="s">
        <v>19</v>
      </c>
    </row>
    <row r="31" spans="1:9">
      <c r="A31">
        <v>1035</v>
      </c>
      <c r="B31" s="4">
        <v>45326</v>
      </c>
      <c r="C31">
        <f t="shared" si="2"/>
        <v>2</v>
      </c>
      <c r="D31" t="s">
        <v>23</v>
      </c>
      <c r="E31" t="s">
        <v>13</v>
      </c>
      <c r="F31">
        <v>2</v>
      </c>
      <c r="G31">
        <v>800</v>
      </c>
      <c r="H31">
        <f t="shared" si="3"/>
        <v>1600</v>
      </c>
      <c r="I31" t="s">
        <v>19</v>
      </c>
    </row>
    <row r="32" spans="1:9">
      <c r="A32">
        <v>1036</v>
      </c>
      <c r="B32" s="4">
        <v>45327</v>
      </c>
      <c r="C32">
        <f t="shared" si="2"/>
        <v>2</v>
      </c>
      <c r="D32" t="s">
        <v>23</v>
      </c>
      <c r="E32" t="s">
        <v>10</v>
      </c>
      <c r="F32">
        <v>3</v>
      </c>
      <c r="G32">
        <v>851</v>
      </c>
      <c r="H32">
        <f t="shared" si="3"/>
        <v>2553</v>
      </c>
      <c r="I32" t="s">
        <v>20</v>
      </c>
    </row>
    <row r="33" spans="1:9">
      <c r="A33">
        <v>1037</v>
      </c>
      <c r="B33" s="4">
        <v>45328</v>
      </c>
      <c r="C33">
        <f t="shared" si="2"/>
        <v>2</v>
      </c>
      <c r="D33" t="s">
        <v>23</v>
      </c>
      <c r="E33" t="s">
        <v>10</v>
      </c>
      <c r="F33">
        <v>4</v>
      </c>
      <c r="G33">
        <v>145</v>
      </c>
      <c r="H33">
        <f t="shared" si="3"/>
        <v>580</v>
      </c>
      <c r="I33" t="s">
        <v>20</v>
      </c>
    </row>
    <row r="34" spans="1:9">
      <c r="A34">
        <v>1038</v>
      </c>
      <c r="B34" s="4">
        <v>45329</v>
      </c>
      <c r="C34">
        <f t="shared" si="2"/>
        <v>2</v>
      </c>
      <c r="D34" t="s">
        <v>18</v>
      </c>
      <c r="E34" t="s">
        <v>10</v>
      </c>
      <c r="F34">
        <v>2</v>
      </c>
      <c r="G34">
        <v>687</v>
      </c>
      <c r="H34">
        <f t="shared" si="3"/>
        <v>1374</v>
      </c>
      <c r="I34" t="s">
        <v>20</v>
      </c>
    </row>
    <row r="35" spans="1:9">
      <c r="A35">
        <v>1039</v>
      </c>
      <c r="B35" s="4">
        <v>45330</v>
      </c>
      <c r="C35">
        <f t="shared" si="2"/>
        <v>2</v>
      </c>
      <c r="D35" t="s">
        <v>9</v>
      </c>
      <c r="E35" t="s">
        <v>10</v>
      </c>
      <c r="F35">
        <v>4</v>
      </c>
      <c r="G35">
        <v>167</v>
      </c>
      <c r="H35">
        <f t="shared" si="3"/>
        <v>668</v>
      </c>
      <c r="I35" t="s">
        <v>20</v>
      </c>
    </row>
    <row r="36" spans="1:9">
      <c r="A36">
        <v>1040</v>
      </c>
      <c r="B36" s="4">
        <v>45331</v>
      </c>
      <c r="C36">
        <f t="shared" si="2"/>
        <v>2</v>
      </c>
      <c r="D36" t="s">
        <v>9</v>
      </c>
      <c r="E36" t="s">
        <v>13</v>
      </c>
      <c r="F36">
        <v>2</v>
      </c>
      <c r="G36">
        <v>609</v>
      </c>
      <c r="H36">
        <f t="shared" si="3"/>
        <v>1218</v>
      </c>
      <c r="I36" t="s">
        <v>19</v>
      </c>
    </row>
    <row r="37" spans="1:9">
      <c r="A37">
        <v>1041</v>
      </c>
      <c r="B37" s="4">
        <v>45332</v>
      </c>
      <c r="C37">
        <f t="shared" si="2"/>
        <v>2</v>
      </c>
      <c r="D37" t="s">
        <v>25</v>
      </c>
      <c r="E37" t="s">
        <v>10</v>
      </c>
      <c r="F37">
        <v>4</v>
      </c>
      <c r="G37">
        <v>650</v>
      </c>
      <c r="H37">
        <f t="shared" si="3"/>
        <v>2600</v>
      </c>
      <c r="I37" t="s">
        <v>11</v>
      </c>
    </row>
    <row r="38" spans="1:9">
      <c r="A38">
        <v>1042</v>
      </c>
      <c r="B38" s="4">
        <v>45333</v>
      </c>
      <c r="C38">
        <f t="shared" si="2"/>
        <v>2</v>
      </c>
      <c r="D38" t="s">
        <v>18</v>
      </c>
      <c r="E38" t="s">
        <v>10</v>
      </c>
      <c r="F38">
        <v>3</v>
      </c>
      <c r="G38">
        <v>537</v>
      </c>
      <c r="H38">
        <f t="shared" si="3"/>
        <v>1611</v>
      </c>
      <c r="I38" t="s">
        <v>20</v>
      </c>
    </row>
    <row r="39" spans="1:9">
      <c r="A39">
        <v>1043</v>
      </c>
      <c r="B39" s="4">
        <v>45334</v>
      </c>
      <c r="C39">
        <f t="shared" si="2"/>
        <v>2</v>
      </c>
      <c r="D39" t="s">
        <v>12</v>
      </c>
      <c r="E39" t="s">
        <v>13</v>
      </c>
      <c r="F39">
        <v>2</v>
      </c>
      <c r="G39">
        <v>286</v>
      </c>
      <c r="H39">
        <f t="shared" si="3"/>
        <v>572</v>
      </c>
      <c r="I39" t="s">
        <v>20</v>
      </c>
    </row>
    <row r="40" spans="1:9">
      <c r="A40">
        <v>1044</v>
      </c>
      <c r="B40" s="4">
        <v>45335</v>
      </c>
      <c r="C40">
        <f t="shared" si="2"/>
        <v>2</v>
      </c>
      <c r="D40" t="s">
        <v>18</v>
      </c>
      <c r="E40" t="s">
        <v>13</v>
      </c>
      <c r="F40">
        <v>3</v>
      </c>
      <c r="G40">
        <v>934</v>
      </c>
      <c r="H40">
        <f t="shared" si="3"/>
        <v>2802</v>
      </c>
      <c r="I40" t="s">
        <v>19</v>
      </c>
    </row>
    <row r="41" spans="1:9">
      <c r="A41">
        <v>1045</v>
      </c>
      <c r="B41" s="4">
        <v>45336</v>
      </c>
      <c r="C41">
        <f t="shared" si="2"/>
        <v>2</v>
      </c>
      <c r="D41" t="s">
        <v>12</v>
      </c>
      <c r="E41" t="s">
        <v>10</v>
      </c>
      <c r="F41">
        <v>2</v>
      </c>
      <c r="G41">
        <v>946</v>
      </c>
      <c r="H41">
        <f t="shared" si="3"/>
        <v>1892</v>
      </c>
      <c r="I41" t="s">
        <v>19</v>
      </c>
    </row>
    <row r="42" spans="1:9">
      <c r="A42">
        <v>1046</v>
      </c>
      <c r="B42" s="4">
        <v>45337</v>
      </c>
      <c r="C42">
        <f t="shared" si="2"/>
        <v>2</v>
      </c>
      <c r="D42" t="s">
        <v>25</v>
      </c>
      <c r="E42" t="s">
        <v>10</v>
      </c>
      <c r="F42">
        <v>3</v>
      </c>
      <c r="G42">
        <v>321</v>
      </c>
      <c r="H42">
        <f t="shared" si="3"/>
        <v>963</v>
      </c>
      <c r="I42" t="s">
        <v>14</v>
      </c>
    </row>
    <row r="43" spans="1:9">
      <c r="A43">
        <v>1047</v>
      </c>
      <c r="B43" s="4">
        <v>45338</v>
      </c>
      <c r="C43">
        <f t="shared" si="2"/>
        <v>2</v>
      </c>
      <c r="D43" t="s">
        <v>24</v>
      </c>
      <c r="E43" t="s">
        <v>10</v>
      </c>
      <c r="F43">
        <v>3</v>
      </c>
      <c r="G43">
        <v>238</v>
      </c>
      <c r="H43">
        <f t="shared" si="3"/>
        <v>714</v>
      </c>
      <c r="I43" t="s">
        <v>20</v>
      </c>
    </row>
    <row r="44" spans="1:9">
      <c r="A44">
        <v>1048</v>
      </c>
      <c r="B44" s="4">
        <v>45339</v>
      </c>
      <c r="C44">
        <f t="shared" si="2"/>
        <v>2</v>
      </c>
      <c r="D44" t="s">
        <v>9</v>
      </c>
      <c r="E44" t="s">
        <v>10</v>
      </c>
      <c r="F44">
        <v>2</v>
      </c>
      <c r="G44">
        <v>753</v>
      </c>
      <c r="H44">
        <f t="shared" si="3"/>
        <v>1506</v>
      </c>
      <c r="I44" t="s">
        <v>14</v>
      </c>
    </row>
    <row r="45" spans="1:9">
      <c r="A45">
        <v>1049</v>
      </c>
      <c r="B45" s="4">
        <v>45340</v>
      </c>
      <c r="C45">
        <f t="shared" si="2"/>
        <v>2</v>
      </c>
      <c r="D45" t="s">
        <v>25</v>
      </c>
      <c r="E45" t="s">
        <v>10</v>
      </c>
      <c r="F45">
        <v>2</v>
      </c>
      <c r="G45">
        <v>496</v>
      </c>
      <c r="H45">
        <f t="shared" si="3"/>
        <v>992</v>
      </c>
      <c r="I45" t="s">
        <v>19</v>
      </c>
    </row>
    <row r="46" spans="1:9">
      <c r="A46">
        <v>1050</v>
      </c>
      <c r="B46" s="4">
        <v>45341</v>
      </c>
      <c r="C46">
        <f t="shared" si="2"/>
        <v>2</v>
      </c>
      <c r="D46" t="s">
        <v>9</v>
      </c>
      <c r="E46" t="s">
        <v>10</v>
      </c>
      <c r="F46">
        <v>2</v>
      </c>
      <c r="G46">
        <v>630</v>
      </c>
      <c r="H46">
        <f t="shared" si="3"/>
        <v>1260</v>
      </c>
      <c r="I46" t="s">
        <v>19</v>
      </c>
    </row>
    <row r="47" spans="1:9">
      <c r="A47">
        <v>1051</v>
      </c>
      <c r="B47" s="4">
        <v>45342</v>
      </c>
      <c r="C47">
        <f t="shared" si="2"/>
        <v>2</v>
      </c>
      <c r="D47" t="s">
        <v>23</v>
      </c>
      <c r="E47" t="s">
        <v>13</v>
      </c>
      <c r="F47">
        <v>1</v>
      </c>
      <c r="G47">
        <v>839</v>
      </c>
      <c r="H47">
        <f t="shared" si="3"/>
        <v>839</v>
      </c>
      <c r="I47" t="s">
        <v>11</v>
      </c>
    </row>
    <row r="48" spans="1:9">
      <c r="A48">
        <v>1052</v>
      </c>
      <c r="B48" s="4">
        <v>45343</v>
      </c>
      <c r="C48">
        <f t="shared" si="2"/>
        <v>2</v>
      </c>
      <c r="D48" t="s">
        <v>24</v>
      </c>
      <c r="E48" t="s">
        <v>10</v>
      </c>
      <c r="F48">
        <v>4</v>
      </c>
      <c r="G48">
        <v>910</v>
      </c>
      <c r="H48">
        <f t="shared" si="3"/>
        <v>3640</v>
      </c>
      <c r="I48" t="s">
        <v>20</v>
      </c>
    </row>
    <row r="49" spans="1:9">
      <c r="A49">
        <v>1053</v>
      </c>
      <c r="B49" s="4">
        <v>45344</v>
      </c>
      <c r="C49">
        <f t="shared" si="2"/>
        <v>2</v>
      </c>
      <c r="D49" t="s">
        <v>24</v>
      </c>
      <c r="E49" t="s">
        <v>10</v>
      </c>
      <c r="F49">
        <v>1</v>
      </c>
      <c r="G49">
        <v>296</v>
      </c>
      <c r="H49">
        <f t="shared" si="3"/>
        <v>296</v>
      </c>
      <c r="I49" t="s">
        <v>14</v>
      </c>
    </row>
    <row r="50" spans="1:9">
      <c r="A50">
        <v>1054</v>
      </c>
      <c r="B50" s="4">
        <v>45345</v>
      </c>
      <c r="C50">
        <f t="shared" si="2"/>
        <v>2</v>
      </c>
      <c r="D50" t="s">
        <v>25</v>
      </c>
      <c r="E50" t="s">
        <v>13</v>
      </c>
      <c r="F50">
        <v>1</v>
      </c>
      <c r="G50">
        <v>125</v>
      </c>
      <c r="H50">
        <f t="shared" si="3"/>
        <v>125</v>
      </c>
      <c r="I50" t="s">
        <v>19</v>
      </c>
    </row>
    <row r="51" spans="1:9">
      <c r="A51">
        <v>1055</v>
      </c>
      <c r="B51" s="4">
        <v>45346</v>
      </c>
      <c r="C51">
        <f t="shared" si="2"/>
        <v>2</v>
      </c>
      <c r="D51" t="s">
        <v>24</v>
      </c>
      <c r="E51" t="s">
        <v>13</v>
      </c>
      <c r="F51">
        <v>3</v>
      </c>
      <c r="G51">
        <v>203</v>
      </c>
      <c r="H51">
        <f t="shared" si="3"/>
        <v>609</v>
      </c>
      <c r="I51" t="s">
        <v>19</v>
      </c>
    </row>
    <row r="52" spans="1:9">
      <c r="A52">
        <v>1056</v>
      </c>
      <c r="B52" s="4">
        <v>45347</v>
      </c>
      <c r="C52">
        <f t="shared" si="2"/>
        <v>2</v>
      </c>
      <c r="D52" t="s">
        <v>12</v>
      </c>
      <c r="E52" t="s">
        <v>13</v>
      </c>
      <c r="F52">
        <v>2</v>
      </c>
      <c r="G52">
        <v>705</v>
      </c>
      <c r="H52">
        <f t="shared" si="3"/>
        <v>1410</v>
      </c>
      <c r="I52" t="s">
        <v>14</v>
      </c>
    </row>
    <row r="53" spans="1:9">
      <c r="A53">
        <v>1057</v>
      </c>
      <c r="B53" s="4">
        <v>45348</v>
      </c>
      <c r="C53">
        <f t="shared" si="2"/>
        <v>2</v>
      </c>
      <c r="D53" t="s">
        <v>24</v>
      </c>
      <c r="E53" t="s">
        <v>13</v>
      </c>
      <c r="F53">
        <v>4</v>
      </c>
      <c r="G53">
        <v>484</v>
      </c>
      <c r="H53">
        <f t="shared" si="3"/>
        <v>1936</v>
      </c>
      <c r="I53" t="s">
        <v>11</v>
      </c>
    </row>
    <row r="54" spans="1:9">
      <c r="A54">
        <v>1058</v>
      </c>
      <c r="B54" s="4">
        <v>45349</v>
      </c>
      <c r="C54">
        <f t="shared" si="2"/>
        <v>2</v>
      </c>
      <c r="D54" t="s">
        <v>9</v>
      </c>
      <c r="E54" t="s">
        <v>10</v>
      </c>
      <c r="F54">
        <v>3</v>
      </c>
      <c r="G54">
        <v>135</v>
      </c>
      <c r="H54">
        <f t="shared" si="3"/>
        <v>405</v>
      </c>
      <c r="I54" t="s">
        <v>19</v>
      </c>
    </row>
    <row r="55" spans="1:9">
      <c r="A55">
        <v>1059</v>
      </c>
      <c r="B55" s="4">
        <v>45350</v>
      </c>
      <c r="C55">
        <f t="shared" si="2"/>
        <v>2</v>
      </c>
      <c r="D55" t="s">
        <v>9</v>
      </c>
      <c r="E55" t="s">
        <v>10</v>
      </c>
      <c r="F55">
        <v>1</v>
      </c>
      <c r="G55">
        <v>746</v>
      </c>
      <c r="H55">
        <f t="shared" si="3"/>
        <v>746</v>
      </c>
      <c r="I55" t="s">
        <v>20</v>
      </c>
    </row>
    <row r="56" spans="1:9">
      <c r="A56">
        <v>1060</v>
      </c>
      <c r="B56" s="4">
        <v>45351</v>
      </c>
      <c r="C56">
        <f t="shared" si="2"/>
        <v>2</v>
      </c>
      <c r="D56" t="s">
        <v>9</v>
      </c>
      <c r="E56" t="s">
        <v>10</v>
      </c>
      <c r="F56">
        <v>2</v>
      </c>
      <c r="G56">
        <v>334</v>
      </c>
      <c r="H56">
        <f t="shared" si="3"/>
        <v>668</v>
      </c>
      <c r="I56" t="s">
        <v>19</v>
      </c>
    </row>
    <row r="57" spans="1:9">
      <c r="A57">
        <v>1061</v>
      </c>
      <c r="B57" s="4">
        <v>45352</v>
      </c>
      <c r="C57">
        <f t="shared" si="2"/>
        <v>3</v>
      </c>
      <c r="D57" t="s">
        <v>9</v>
      </c>
      <c r="E57" t="s">
        <v>10</v>
      </c>
      <c r="F57">
        <v>3</v>
      </c>
      <c r="G57">
        <v>269</v>
      </c>
      <c r="H57">
        <f t="shared" si="3"/>
        <v>807</v>
      </c>
      <c r="I57" t="s">
        <v>20</v>
      </c>
    </row>
    <row r="58" spans="1:9">
      <c r="A58">
        <v>1062</v>
      </c>
      <c r="B58" s="4">
        <v>45353</v>
      </c>
      <c r="C58">
        <f t="shared" si="2"/>
        <v>3</v>
      </c>
      <c r="D58" t="s">
        <v>12</v>
      </c>
      <c r="E58" t="s">
        <v>10</v>
      </c>
      <c r="F58">
        <v>2</v>
      </c>
      <c r="G58">
        <v>118</v>
      </c>
      <c r="H58">
        <f t="shared" si="3"/>
        <v>236</v>
      </c>
      <c r="I58" t="s">
        <v>14</v>
      </c>
    </row>
    <row r="59" spans="1:9">
      <c r="A59">
        <v>1063</v>
      </c>
      <c r="B59" s="4">
        <v>45354</v>
      </c>
      <c r="C59">
        <f t="shared" si="2"/>
        <v>3</v>
      </c>
      <c r="D59" t="s">
        <v>18</v>
      </c>
      <c r="E59" t="s">
        <v>10</v>
      </c>
      <c r="F59">
        <v>3</v>
      </c>
      <c r="G59">
        <v>96</v>
      </c>
      <c r="H59">
        <f t="shared" si="3"/>
        <v>288</v>
      </c>
      <c r="I59" t="s">
        <v>20</v>
      </c>
    </row>
    <row r="60" spans="1:9">
      <c r="A60">
        <v>1064</v>
      </c>
      <c r="B60" s="4">
        <v>45355</v>
      </c>
      <c r="C60">
        <f t="shared" si="2"/>
        <v>3</v>
      </c>
      <c r="D60" t="s">
        <v>23</v>
      </c>
      <c r="E60" t="s">
        <v>13</v>
      </c>
      <c r="F60">
        <v>2</v>
      </c>
      <c r="G60">
        <v>143</v>
      </c>
      <c r="H60">
        <f t="shared" si="3"/>
        <v>286</v>
      </c>
      <c r="I60" t="s">
        <v>14</v>
      </c>
    </row>
    <row r="61" spans="1:9">
      <c r="A61">
        <v>1065</v>
      </c>
      <c r="B61" s="4">
        <v>45356</v>
      </c>
      <c r="C61">
        <f t="shared" si="2"/>
        <v>3</v>
      </c>
      <c r="D61" t="s">
        <v>25</v>
      </c>
      <c r="E61" t="s">
        <v>10</v>
      </c>
      <c r="F61">
        <v>1</v>
      </c>
      <c r="G61">
        <v>799</v>
      </c>
      <c r="H61">
        <f t="shared" si="3"/>
        <v>799</v>
      </c>
      <c r="I61" t="s">
        <v>20</v>
      </c>
    </row>
    <row r="62" spans="1:9">
      <c r="A62">
        <v>1066</v>
      </c>
      <c r="B62" s="4">
        <v>45357</v>
      </c>
      <c r="C62">
        <f t="shared" ref="C62:C93" si="4">MONTH(B62)</f>
        <v>3</v>
      </c>
      <c r="D62" t="s">
        <v>9</v>
      </c>
      <c r="E62" t="s">
        <v>13</v>
      </c>
      <c r="F62">
        <v>4</v>
      </c>
      <c r="G62">
        <v>502</v>
      </c>
      <c r="H62">
        <f t="shared" ref="H62:H93" si="5">F62*G62</f>
        <v>2008</v>
      </c>
      <c r="I62" t="s">
        <v>14</v>
      </c>
    </row>
    <row r="63" spans="1:9">
      <c r="A63">
        <v>1067</v>
      </c>
      <c r="B63" s="4">
        <v>45358</v>
      </c>
      <c r="C63">
        <f t="shared" si="4"/>
        <v>3</v>
      </c>
      <c r="D63" t="s">
        <v>24</v>
      </c>
      <c r="E63" t="s">
        <v>13</v>
      </c>
      <c r="F63">
        <v>1</v>
      </c>
      <c r="G63">
        <v>253</v>
      </c>
      <c r="H63">
        <f t="shared" si="5"/>
        <v>253</v>
      </c>
      <c r="I63" t="s">
        <v>20</v>
      </c>
    </row>
    <row r="64" spans="1:9">
      <c r="A64">
        <v>1068</v>
      </c>
      <c r="B64" s="4">
        <v>45359</v>
      </c>
      <c r="C64">
        <f t="shared" si="4"/>
        <v>3</v>
      </c>
      <c r="D64" t="s">
        <v>9</v>
      </c>
      <c r="E64" t="s">
        <v>10</v>
      </c>
      <c r="F64">
        <v>4</v>
      </c>
      <c r="G64">
        <v>961</v>
      </c>
      <c r="H64">
        <f t="shared" si="5"/>
        <v>3844</v>
      </c>
      <c r="I64" t="s">
        <v>11</v>
      </c>
    </row>
    <row r="65" spans="1:9">
      <c r="A65">
        <v>1069</v>
      </c>
      <c r="B65" s="4">
        <v>45360</v>
      </c>
      <c r="C65">
        <f t="shared" si="4"/>
        <v>3</v>
      </c>
      <c r="D65" t="s">
        <v>24</v>
      </c>
      <c r="E65" t="s">
        <v>13</v>
      </c>
      <c r="F65">
        <v>2</v>
      </c>
      <c r="G65">
        <v>267</v>
      </c>
      <c r="H65">
        <f t="shared" si="5"/>
        <v>534</v>
      </c>
      <c r="I65" t="s">
        <v>20</v>
      </c>
    </row>
    <row r="66" spans="1:9">
      <c r="A66">
        <v>1070</v>
      </c>
      <c r="B66" s="4">
        <v>45361</v>
      </c>
      <c r="C66">
        <f t="shared" si="4"/>
        <v>3</v>
      </c>
      <c r="D66" t="s">
        <v>23</v>
      </c>
      <c r="E66" t="s">
        <v>10</v>
      </c>
      <c r="F66">
        <v>3</v>
      </c>
      <c r="G66">
        <v>523</v>
      </c>
      <c r="H66">
        <f t="shared" si="5"/>
        <v>1569</v>
      </c>
      <c r="I66" t="s">
        <v>20</v>
      </c>
    </row>
    <row r="67" spans="1:9">
      <c r="A67">
        <v>1071</v>
      </c>
      <c r="B67" s="4">
        <v>45362</v>
      </c>
      <c r="C67">
        <f t="shared" si="4"/>
        <v>3</v>
      </c>
      <c r="D67" t="s">
        <v>23</v>
      </c>
      <c r="E67" t="s">
        <v>13</v>
      </c>
      <c r="F67">
        <v>1</v>
      </c>
      <c r="G67">
        <v>481</v>
      </c>
      <c r="H67">
        <f t="shared" si="5"/>
        <v>481</v>
      </c>
      <c r="I67" t="s">
        <v>11</v>
      </c>
    </row>
    <row r="68" spans="1:9">
      <c r="A68">
        <v>1072</v>
      </c>
      <c r="B68" s="4">
        <v>45363</v>
      </c>
      <c r="C68">
        <f t="shared" si="4"/>
        <v>3</v>
      </c>
      <c r="D68" t="s">
        <v>23</v>
      </c>
      <c r="E68" t="s">
        <v>10</v>
      </c>
      <c r="F68">
        <v>4</v>
      </c>
      <c r="G68">
        <v>390</v>
      </c>
      <c r="H68">
        <f t="shared" si="5"/>
        <v>1560</v>
      </c>
      <c r="I68" t="s">
        <v>19</v>
      </c>
    </row>
    <row r="69" spans="1:9">
      <c r="A69">
        <v>1073</v>
      </c>
      <c r="B69" s="4">
        <v>45364</v>
      </c>
      <c r="C69">
        <f t="shared" si="4"/>
        <v>3</v>
      </c>
      <c r="D69" t="s">
        <v>24</v>
      </c>
      <c r="E69" t="s">
        <v>13</v>
      </c>
      <c r="F69">
        <v>1</v>
      </c>
      <c r="G69">
        <v>600</v>
      </c>
      <c r="H69">
        <f t="shared" si="5"/>
        <v>600</v>
      </c>
      <c r="I69" t="s">
        <v>19</v>
      </c>
    </row>
    <row r="70" spans="1:9">
      <c r="A70">
        <v>1074</v>
      </c>
      <c r="B70" s="4">
        <v>45365</v>
      </c>
      <c r="C70">
        <f t="shared" si="4"/>
        <v>3</v>
      </c>
      <c r="D70" t="s">
        <v>9</v>
      </c>
      <c r="E70" t="s">
        <v>10</v>
      </c>
      <c r="F70">
        <v>4</v>
      </c>
      <c r="G70">
        <v>661</v>
      </c>
      <c r="H70">
        <f t="shared" si="5"/>
        <v>2644</v>
      </c>
      <c r="I70" t="s">
        <v>20</v>
      </c>
    </row>
    <row r="71" spans="1:9">
      <c r="A71">
        <v>1075</v>
      </c>
      <c r="B71" s="4">
        <v>45366</v>
      </c>
      <c r="C71">
        <f t="shared" si="4"/>
        <v>3</v>
      </c>
      <c r="D71" t="s">
        <v>23</v>
      </c>
      <c r="E71" t="s">
        <v>10</v>
      </c>
      <c r="F71">
        <v>1</v>
      </c>
      <c r="G71">
        <v>338</v>
      </c>
      <c r="H71">
        <f t="shared" si="5"/>
        <v>338</v>
      </c>
      <c r="I71" t="s">
        <v>11</v>
      </c>
    </row>
    <row r="72" spans="1:9">
      <c r="A72">
        <v>1076</v>
      </c>
      <c r="B72" s="4">
        <v>45367</v>
      </c>
      <c r="C72">
        <f t="shared" si="4"/>
        <v>3</v>
      </c>
      <c r="D72" t="s">
        <v>12</v>
      </c>
      <c r="E72" t="s">
        <v>10</v>
      </c>
      <c r="F72">
        <v>4</v>
      </c>
      <c r="G72">
        <v>303</v>
      </c>
      <c r="H72">
        <f t="shared" si="5"/>
        <v>1212</v>
      </c>
      <c r="I72" t="s">
        <v>20</v>
      </c>
    </row>
    <row r="73" spans="1:9">
      <c r="A73">
        <v>1077</v>
      </c>
      <c r="B73" s="4">
        <v>45368</v>
      </c>
      <c r="C73">
        <f t="shared" si="4"/>
        <v>3</v>
      </c>
      <c r="D73" t="s">
        <v>24</v>
      </c>
      <c r="E73" t="s">
        <v>10</v>
      </c>
      <c r="F73">
        <v>4</v>
      </c>
      <c r="G73">
        <v>783</v>
      </c>
      <c r="H73">
        <f t="shared" si="5"/>
        <v>3132</v>
      </c>
      <c r="I73" t="s">
        <v>14</v>
      </c>
    </row>
    <row r="74" spans="1:9">
      <c r="A74">
        <v>1078</v>
      </c>
      <c r="B74" s="4">
        <v>45369</v>
      </c>
      <c r="C74">
        <f t="shared" si="4"/>
        <v>3</v>
      </c>
      <c r="D74" t="s">
        <v>24</v>
      </c>
      <c r="E74" t="s">
        <v>10</v>
      </c>
      <c r="F74">
        <v>2</v>
      </c>
      <c r="G74">
        <v>406</v>
      </c>
      <c r="H74">
        <f t="shared" si="5"/>
        <v>812</v>
      </c>
      <c r="I74" t="s">
        <v>14</v>
      </c>
    </row>
    <row r="75" spans="1:9">
      <c r="A75">
        <v>1079</v>
      </c>
      <c r="B75" s="4">
        <v>45370</v>
      </c>
      <c r="C75">
        <f t="shared" si="4"/>
        <v>3</v>
      </c>
      <c r="D75" t="s">
        <v>9</v>
      </c>
      <c r="E75" t="s">
        <v>13</v>
      </c>
      <c r="F75">
        <v>4</v>
      </c>
      <c r="G75">
        <v>72</v>
      </c>
      <c r="H75">
        <f t="shared" si="5"/>
        <v>288</v>
      </c>
      <c r="I75" t="s">
        <v>20</v>
      </c>
    </row>
    <row r="76" spans="1:9">
      <c r="A76">
        <v>1080</v>
      </c>
      <c r="B76" s="4">
        <v>45371</v>
      </c>
      <c r="C76">
        <f t="shared" si="4"/>
        <v>3</v>
      </c>
      <c r="D76" t="s">
        <v>24</v>
      </c>
      <c r="E76" t="s">
        <v>13</v>
      </c>
      <c r="F76">
        <v>2</v>
      </c>
      <c r="G76">
        <v>811</v>
      </c>
      <c r="H76">
        <f t="shared" si="5"/>
        <v>1622</v>
      </c>
      <c r="I76" t="s">
        <v>19</v>
      </c>
    </row>
    <row r="77" spans="1:9">
      <c r="A77">
        <v>1081</v>
      </c>
      <c r="B77" s="4">
        <v>45372</v>
      </c>
      <c r="C77">
        <f t="shared" si="4"/>
        <v>3</v>
      </c>
      <c r="D77" t="s">
        <v>24</v>
      </c>
      <c r="E77" t="s">
        <v>13</v>
      </c>
      <c r="F77">
        <v>4</v>
      </c>
      <c r="G77">
        <v>571</v>
      </c>
      <c r="H77">
        <f t="shared" si="5"/>
        <v>2284</v>
      </c>
      <c r="I77" t="s">
        <v>19</v>
      </c>
    </row>
    <row r="78" spans="1:9">
      <c r="A78">
        <v>1082</v>
      </c>
      <c r="B78" s="4">
        <v>45373</v>
      </c>
      <c r="C78">
        <f t="shared" si="4"/>
        <v>3</v>
      </c>
      <c r="D78" t="s">
        <v>23</v>
      </c>
      <c r="E78" t="s">
        <v>10</v>
      </c>
      <c r="F78">
        <v>3</v>
      </c>
      <c r="G78">
        <v>807</v>
      </c>
      <c r="H78">
        <f t="shared" si="5"/>
        <v>2421</v>
      </c>
      <c r="I78" t="s">
        <v>20</v>
      </c>
    </row>
    <row r="79" spans="1:9">
      <c r="A79">
        <v>1083</v>
      </c>
      <c r="B79" s="4">
        <v>45374</v>
      </c>
      <c r="C79">
        <f t="shared" si="4"/>
        <v>3</v>
      </c>
      <c r="D79" t="s">
        <v>9</v>
      </c>
      <c r="E79" t="s">
        <v>13</v>
      </c>
      <c r="F79">
        <v>3</v>
      </c>
      <c r="G79">
        <v>886</v>
      </c>
      <c r="H79">
        <f t="shared" si="5"/>
        <v>2658</v>
      </c>
      <c r="I79" t="s">
        <v>20</v>
      </c>
    </row>
    <row r="80" spans="1:9">
      <c r="A80">
        <v>1084</v>
      </c>
      <c r="B80" s="4">
        <v>45375</v>
      </c>
      <c r="C80">
        <f t="shared" si="4"/>
        <v>3</v>
      </c>
      <c r="D80" t="s">
        <v>23</v>
      </c>
      <c r="E80" t="s">
        <v>10</v>
      </c>
      <c r="F80">
        <v>3</v>
      </c>
      <c r="G80">
        <v>149</v>
      </c>
      <c r="H80">
        <f t="shared" si="5"/>
        <v>447</v>
      </c>
      <c r="I80" t="s">
        <v>14</v>
      </c>
    </row>
    <row r="81" spans="1:9">
      <c r="A81">
        <v>1085</v>
      </c>
      <c r="B81" s="4">
        <v>45376</v>
      </c>
      <c r="C81">
        <f t="shared" si="4"/>
        <v>3</v>
      </c>
      <c r="D81" t="s">
        <v>23</v>
      </c>
      <c r="E81" t="s">
        <v>10</v>
      </c>
      <c r="F81">
        <v>4</v>
      </c>
      <c r="G81">
        <v>851</v>
      </c>
      <c r="H81">
        <f t="shared" si="5"/>
        <v>3404</v>
      </c>
      <c r="I81" t="s">
        <v>19</v>
      </c>
    </row>
    <row r="82" spans="1:9">
      <c r="A82">
        <v>1086</v>
      </c>
      <c r="B82" s="4">
        <v>45377</v>
      </c>
      <c r="C82">
        <f t="shared" si="4"/>
        <v>3</v>
      </c>
      <c r="D82" t="s">
        <v>9</v>
      </c>
      <c r="E82" t="s">
        <v>13</v>
      </c>
      <c r="F82">
        <v>2</v>
      </c>
      <c r="G82">
        <v>229</v>
      </c>
      <c r="H82">
        <f t="shared" si="5"/>
        <v>458</v>
      </c>
      <c r="I82" t="s">
        <v>20</v>
      </c>
    </row>
    <row r="83" spans="1:9">
      <c r="A83">
        <v>1087</v>
      </c>
      <c r="B83" s="4">
        <v>45378</v>
      </c>
      <c r="C83">
        <f t="shared" si="4"/>
        <v>3</v>
      </c>
      <c r="D83" t="s">
        <v>25</v>
      </c>
      <c r="E83" t="s">
        <v>13</v>
      </c>
      <c r="F83">
        <v>2</v>
      </c>
      <c r="G83">
        <v>272</v>
      </c>
      <c r="H83">
        <f t="shared" si="5"/>
        <v>544</v>
      </c>
      <c r="I83" t="s">
        <v>14</v>
      </c>
    </row>
    <row r="84" spans="1:9">
      <c r="A84">
        <v>1088</v>
      </c>
      <c r="B84" s="4">
        <v>45379</v>
      </c>
      <c r="C84">
        <f t="shared" si="4"/>
        <v>3</v>
      </c>
      <c r="D84" t="s">
        <v>23</v>
      </c>
      <c r="E84" t="s">
        <v>10</v>
      </c>
      <c r="F84">
        <v>4</v>
      </c>
      <c r="G84">
        <v>955</v>
      </c>
      <c r="H84">
        <f t="shared" si="5"/>
        <v>3820</v>
      </c>
      <c r="I84" t="s">
        <v>19</v>
      </c>
    </row>
    <row r="85" spans="1:9">
      <c r="A85">
        <v>1089</v>
      </c>
      <c r="B85" s="4">
        <v>45380</v>
      </c>
      <c r="C85">
        <f t="shared" si="4"/>
        <v>3</v>
      </c>
      <c r="D85" t="s">
        <v>12</v>
      </c>
      <c r="E85" t="s">
        <v>13</v>
      </c>
      <c r="F85">
        <v>3</v>
      </c>
      <c r="G85">
        <v>811</v>
      </c>
      <c r="H85">
        <f t="shared" si="5"/>
        <v>2433</v>
      </c>
      <c r="I85" t="s">
        <v>11</v>
      </c>
    </row>
    <row r="86" spans="1:9">
      <c r="A86">
        <v>1090</v>
      </c>
      <c r="B86" s="4">
        <v>45381</v>
      </c>
      <c r="C86">
        <f t="shared" si="4"/>
        <v>3</v>
      </c>
      <c r="D86" t="s">
        <v>12</v>
      </c>
      <c r="E86" t="s">
        <v>10</v>
      </c>
      <c r="F86">
        <v>3</v>
      </c>
      <c r="G86">
        <v>708</v>
      </c>
      <c r="H86">
        <f t="shared" si="5"/>
        <v>2124</v>
      </c>
      <c r="I86" t="s">
        <v>14</v>
      </c>
    </row>
    <row r="87" spans="1:9">
      <c r="A87">
        <v>1091</v>
      </c>
      <c r="B87" s="4">
        <v>45382</v>
      </c>
      <c r="C87">
        <f t="shared" si="4"/>
        <v>3</v>
      </c>
      <c r="D87" t="s">
        <v>24</v>
      </c>
      <c r="E87" t="s">
        <v>10</v>
      </c>
      <c r="F87">
        <v>2</v>
      </c>
      <c r="G87">
        <v>491</v>
      </c>
      <c r="H87">
        <f t="shared" si="5"/>
        <v>982</v>
      </c>
      <c r="I87" t="s">
        <v>19</v>
      </c>
    </row>
    <row r="88" spans="1:9">
      <c r="A88">
        <v>1092</v>
      </c>
      <c r="B88" s="4">
        <v>45383</v>
      </c>
      <c r="C88">
        <f t="shared" si="4"/>
        <v>4</v>
      </c>
      <c r="D88" t="s">
        <v>12</v>
      </c>
      <c r="E88" t="s">
        <v>10</v>
      </c>
      <c r="F88">
        <v>3</v>
      </c>
      <c r="G88">
        <v>657</v>
      </c>
      <c r="H88">
        <f t="shared" si="5"/>
        <v>1971</v>
      </c>
      <c r="I88" t="s">
        <v>19</v>
      </c>
    </row>
    <row r="89" spans="1:9">
      <c r="A89">
        <v>1093</v>
      </c>
      <c r="B89" s="4">
        <v>45384</v>
      </c>
      <c r="C89">
        <f t="shared" si="4"/>
        <v>4</v>
      </c>
      <c r="D89" t="s">
        <v>24</v>
      </c>
      <c r="E89" t="s">
        <v>10</v>
      </c>
      <c r="F89">
        <v>1</v>
      </c>
      <c r="G89">
        <v>818</v>
      </c>
      <c r="H89">
        <f t="shared" si="5"/>
        <v>818</v>
      </c>
      <c r="I89" t="s">
        <v>14</v>
      </c>
    </row>
    <row r="90" spans="1:9">
      <c r="A90">
        <v>1094</v>
      </c>
      <c r="B90" s="4">
        <v>45385</v>
      </c>
      <c r="C90">
        <f t="shared" si="4"/>
        <v>4</v>
      </c>
      <c r="D90" t="s">
        <v>25</v>
      </c>
      <c r="E90" t="s">
        <v>10</v>
      </c>
      <c r="F90">
        <v>2</v>
      </c>
      <c r="G90">
        <v>374</v>
      </c>
      <c r="H90">
        <f t="shared" si="5"/>
        <v>748</v>
      </c>
      <c r="I90" t="s">
        <v>11</v>
      </c>
    </row>
    <row r="91" spans="1:9">
      <c r="A91">
        <v>1095</v>
      </c>
      <c r="B91" s="4">
        <v>45386</v>
      </c>
      <c r="C91">
        <f t="shared" si="4"/>
        <v>4</v>
      </c>
      <c r="D91" t="s">
        <v>9</v>
      </c>
      <c r="E91" t="s">
        <v>13</v>
      </c>
      <c r="F91">
        <v>3</v>
      </c>
      <c r="G91">
        <v>565</v>
      </c>
      <c r="H91">
        <f t="shared" si="5"/>
        <v>1695</v>
      </c>
      <c r="I91" t="s">
        <v>14</v>
      </c>
    </row>
    <row r="92" spans="1:9">
      <c r="A92">
        <v>1096</v>
      </c>
      <c r="B92" s="4">
        <v>45387</v>
      </c>
      <c r="C92">
        <f t="shared" si="4"/>
        <v>4</v>
      </c>
      <c r="D92" t="s">
        <v>9</v>
      </c>
      <c r="E92" t="s">
        <v>13</v>
      </c>
      <c r="F92">
        <v>2</v>
      </c>
      <c r="G92">
        <v>65</v>
      </c>
      <c r="H92">
        <f t="shared" si="5"/>
        <v>130</v>
      </c>
      <c r="I92" t="s">
        <v>19</v>
      </c>
    </row>
    <row r="93" spans="1:9">
      <c r="A93">
        <v>1097</v>
      </c>
      <c r="B93" s="4">
        <v>45388</v>
      </c>
      <c r="C93">
        <f t="shared" si="4"/>
        <v>4</v>
      </c>
      <c r="D93" t="s">
        <v>9</v>
      </c>
      <c r="E93" t="s">
        <v>10</v>
      </c>
      <c r="F93">
        <v>1</v>
      </c>
      <c r="G93">
        <v>841</v>
      </c>
      <c r="H93">
        <f t="shared" si="5"/>
        <v>841</v>
      </c>
      <c r="I93" t="s">
        <v>20</v>
      </c>
    </row>
    <row r="94" spans="1:9">
      <c r="A94">
        <v>1098</v>
      </c>
      <c r="B94" s="4">
        <v>45389</v>
      </c>
      <c r="C94">
        <f t="shared" ref="C94:C116" si="6">MONTH(B94)</f>
        <v>4</v>
      </c>
      <c r="D94" t="s">
        <v>12</v>
      </c>
      <c r="E94" t="s">
        <v>10</v>
      </c>
      <c r="F94">
        <v>2</v>
      </c>
      <c r="G94">
        <v>385</v>
      </c>
      <c r="H94">
        <f t="shared" ref="H94:H116" si="7">F94*G94</f>
        <v>770</v>
      </c>
      <c r="I94" t="s">
        <v>20</v>
      </c>
    </row>
    <row r="95" spans="1:9">
      <c r="A95">
        <v>1099</v>
      </c>
      <c r="B95" s="4">
        <v>45390</v>
      </c>
      <c r="C95">
        <f t="shared" si="6"/>
        <v>4</v>
      </c>
      <c r="D95" t="s">
        <v>25</v>
      </c>
      <c r="E95" t="s">
        <v>13</v>
      </c>
      <c r="F95">
        <v>2</v>
      </c>
      <c r="G95">
        <v>808</v>
      </c>
      <c r="H95">
        <f t="shared" si="7"/>
        <v>1616</v>
      </c>
      <c r="I95" t="s">
        <v>14</v>
      </c>
    </row>
    <row r="96" spans="1:9">
      <c r="A96">
        <v>1100</v>
      </c>
      <c r="B96" s="4">
        <v>45391</v>
      </c>
      <c r="C96">
        <f t="shared" si="6"/>
        <v>4</v>
      </c>
      <c r="D96" t="s">
        <v>12</v>
      </c>
      <c r="E96" t="s">
        <v>13</v>
      </c>
      <c r="F96">
        <v>2</v>
      </c>
      <c r="G96">
        <v>307</v>
      </c>
      <c r="H96">
        <f t="shared" si="7"/>
        <v>614</v>
      </c>
      <c r="I96" t="s">
        <v>19</v>
      </c>
    </row>
    <row r="97" spans="1:9">
      <c r="A97">
        <v>1101</v>
      </c>
      <c r="B97" s="4">
        <v>45392</v>
      </c>
      <c r="C97">
        <f t="shared" si="6"/>
        <v>4</v>
      </c>
      <c r="D97" t="s">
        <v>12</v>
      </c>
      <c r="E97" t="s">
        <v>10</v>
      </c>
      <c r="F97">
        <v>2</v>
      </c>
      <c r="G97">
        <v>546</v>
      </c>
      <c r="H97">
        <f t="shared" si="7"/>
        <v>1092</v>
      </c>
      <c r="I97" t="s">
        <v>20</v>
      </c>
    </row>
    <row r="98" spans="1:9">
      <c r="A98">
        <v>1102</v>
      </c>
      <c r="B98" s="4">
        <v>45393</v>
      </c>
      <c r="C98">
        <f t="shared" si="6"/>
        <v>4</v>
      </c>
      <c r="D98" t="s">
        <v>25</v>
      </c>
      <c r="E98" t="s">
        <v>13</v>
      </c>
      <c r="F98">
        <v>1</v>
      </c>
      <c r="G98">
        <v>945</v>
      </c>
      <c r="H98">
        <f t="shared" si="7"/>
        <v>945</v>
      </c>
      <c r="I98" t="s">
        <v>19</v>
      </c>
    </row>
    <row r="99" spans="1:9">
      <c r="A99">
        <v>1103</v>
      </c>
      <c r="B99" s="4">
        <v>45394</v>
      </c>
      <c r="C99">
        <f t="shared" si="6"/>
        <v>4</v>
      </c>
      <c r="D99" t="s">
        <v>25</v>
      </c>
      <c r="E99" t="s">
        <v>10</v>
      </c>
      <c r="F99">
        <v>4</v>
      </c>
      <c r="G99">
        <v>209</v>
      </c>
      <c r="H99">
        <f t="shared" si="7"/>
        <v>836</v>
      </c>
      <c r="I99" t="s">
        <v>14</v>
      </c>
    </row>
    <row r="100" spans="1:9">
      <c r="A100">
        <v>1104</v>
      </c>
      <c r="B100" s="4">
        <v>45395</v>
      </c>
      <c r="C100">
        <f t="shared" si="6"/>
        <v>4</v>
      </c>
      <c r="D100" t="s">
        <v>25</v>
      </c>
      <c r="E100" t="s">
        <v>13</v>
      </c>
      <c r="F100">
        <v>2</v>
      </c>
      <c r="G100">
        <v>524</v>
      </c>
      <c r="H100">
        <f t="shared" si="7"/>
        <v>1048</v>
      </c>
      <c r="I100" t="s">
        <v>20</v>
      </c>
    </row>
    <row r="101" spans="1:9">
      <c r="A101">
        <v>1105</v>
      </c>
      <c r="B101" s="4">
        <v>45396</v>
      </c>
      <c r="C101">
        <f t="shared" si="6"/>
        <v>4</v>
      </c>
      <c r="D101" t="s">
        <v>25</v>
      </c>
      <c r="E101" t="s">
        <v>10</v>
      </c>
      <c r="F101">
        <v>2</v>
      </c>
      <c r="G101">
        <v>901</v>
      </c>
      <c r="H101">
        <f t="shared" si="7"/>
        <v>1802</v>
      </c>
      <c r="I101" t="s">
        <v>19</v>
      </c>
    </row>
    <row r="102" spans="1:9">
      <c r="A102">
        <v>1106</v>
      </c>
      <c r="B102" s="4">
        <v>45397</v>
      </c>
      <c r="C102">
        <f t="shared" si="6"/>
        <v>4</v>
      </c>
      <c r="D102" t="s">
        <v>9</v>
      </c>
      <c r="E102" t="s">
        <v>13</v>
      </c>
      <c r="F102">
        <v>3</v>
      </c>
      <c r="G102">
        <v>713</v>
      </c>
      <c r="H102">
        <f t="shared" si="7"/>
        <v>2139</v>
      </c>
      <c r="I102" t="s">
        <v>20</v>
      </c>
    </row>
    <row r="103" spans="1:9">
      <c r="A103">
        <v>1107</v>
      </c>
      <c r="B103" s="4">
        <v>45398</v>
      </c>
      <c r="C103">
        <f t="shared" si="6"/>
        <v>4</v>
      </c>
      <c r="D103" t="s">
        <v>18</v>
      </c>
      <c r="E103" t="s">
        <v>10</v>
      </c>
      <c r="F103">
        <v>2</v>
      </c>
      <c r="G103">
        <v>957</v>
      </c>
      <c r="H103">
        <f t="shared" si="7"/>
        <v>1914</v>
      </c>
      <c r="I103" t="s">
        <v>14</v>
      </c>
    </row>
    <row r="104" spans="1:9">
      <c r="A104">
        <v>1108</v>
      </c>
      <c r="B104" s="4">
        <v>45399</v>
      </c>
      <c r="C104">
        <f t="shared" si="6"/>
        <v>4</v>
      </c>
      <c r="D104" t="s">
        <v>18</v>
      </c>
      <c r="E104" t="s">
        <v>13</v>
      </c>
      <c r="F104">
        <v>3</v>
      </c>
      <c r="G104">
        <v>739</v>
      </c>
      <c r="H104">
        <f t="shared" si="7"/>
        <v>2217</v>
      </c>
      <c r="I104" t="s">
        <v>19</v>
      </c>
    </row>
    <row r="105" spans="1:9">
      <c r="A105">
        <v>1109</v>
      </c>
      <c r="B105" s="4">
        <v>45400</v>
      </c>
      <c r="C105">
        <f t="shared" si="6"/>
        <v>4</v>
      </c>
      <c r="D105" t="s">
        <v>25</v>
      </c>
      <c r="E105" t="s">
        <v>13</v>
      </c>
      <c r="F105">
        <v>4</v>
      </c>
      <c r="G105">
        <v>724</v>
      </c>
      <c r="H105">
        <f t="shared" si="7"/>
        <v>2896</v>
      </c>
      <c r="I105" t="s">
        <v>20</v>
      </c>
    </row>
    <row r="106" spans="1:9">
      <c r="A106">
        <v>1110</v>
      </c>
      <c r="B106" s="4">
        <v>45401</v>
      </c>
      <c r="C106">
        <f t="shared" si="6"/>
        <v>4</v>
      </c>
      <c r="D106" t="s">
        <v>18</v>
      </c>
      <c r="E106" t="s">
        <v>10</v>
      </c>
      <c r="F106">
        <v>1</v>
      </c>
      <c r="G106">
        <v>429</v>
      </c>
      <c r="H106">
        <f t="shared" si="7"/>
        <v>429</v>
      </c>
      <c r="I106" t="s">
        <v>14</v>
      </c>
    </row>
    <row r="107" spans="1:9">
      <c r="A107">
        <v>1111</v>
      </c>
      <c r="B107" s="4">
        <v>45402</v>
      </c>
      <c r="C107">
        <f t="shared" si="6"/>
        <v>4</v>
      </c>
      <c r="D107" t="s">
        <v>18</v>
      </c>
      <c r="E107" t="s">
        <v>13</v>
      </c>
      <c r="F107">
        <v>1</v>
      </c>
      <c r="G107">
        <v>594</v>
      </c>
      <c r="H107">
        <f t="shared" si="7"/>
        <v>594</v>
      </c>
      <c r="I107" t="s">
        <v>20</v>
      </c>
    </row>
    <row r="108" spans="1:9">
      <c r="A108">
        <v>1112</v>
      </c>
      <c r="B108" s="4">
        <v>45403</v>
      </c>
      <c r="C108">
        <f t="shared" si="6"/>
        <v>4</v>
      </c>
      <c r="D108" t="s">
        <v>25</v>
      </c>
      <c r="E108" t="s">
        <v>10</v>
      </c>
      <c r="F108">
        <v>4</v>
      </c>
      <c r="G108">
        <v>978</v>
      </c>
      <c r="H108">
        <f t="shared" si="7"/>
        <v>3912</v>
      </c>
      <c r="I108" t="s">
        <v>20</v>
      </c>
    </row>
    <row r="109" spans="1:9">
      <c r="A109">
        <v>1113</v>
      </c>
      <c r="B109" s="4">
        <v>45404</v>
      </c>
      <c r="C109">
        <f t="shared" si="6"/>
        <v>4</v>
      </c>
      <c r="D109" t="s">
        <v>18</v>
      </c>
      <c r="E109" t="s">
        <v>13</v>
      </c>
      <c r="F109">
        <v>1</v>
      </c>
      <c r="G109">
        <v>740</v>
      </c>
      <c r="H109">
        <f t="shared" si="7"/>
        <v>740</v>
      </c>
      <c r="I109" t="s">
        <v>11</v>
      </c>
    </row>
    <row r="110" spans="1:9">
      <c r="A110">
        <v>1114</v>
      </c>
      <c r="B110" s="4">
        <v>45405</v>
      </c>
      <c r="C110">
        <f t="shared" si="6"/>
        <v>4</v>
      </c>
      <c r="D110" t="s">
        <v>12</v>
      </c>
      <c r="E110" t="s">
        <v>10</v>
      </c>
      <c r="F110">
        <v>4</v>
      </c>
      <c r="G110">
        <v>476</v>
      </c>
      <c r="H110">
        <f t="shared" si="7"/>
        <v>1904</v>
      </c>
      <c r="I110" t="s">
        <v>11</v>
      </c>
    </row>
    <row r="111" spans="1:9">
      <c r="A111">
        <v>1115</v>
      </c>
      <c r="B111" s="4">
        <v>45406</v>
      </c>
      <c r="C111">
        <f t="shared" si="6"/>
        <v>4</v>
      </c>
      <c r="D111" t="s">
        <v>24</v>
      </c>
      <c r="E111" t="s">
        <v>13</v>
      </c>
      <c r="F111">
        <v>4</v>
      </c>
      <c r="G111">
        <v>662</v>
      </c>
      <c r="H111">
        <f t="shared" si="7"/>
        <v>2648</v>
      </c>
      <c r="I111" t="s">
        <v>14</v>
      </c>
    </row>
    <row r="112" spans="1:9">
      <c r="A112">
        <v>1116</v>
      </c>
      <c r="B112" s="4">
        <v>45407</v>
      </c>
      <c r="C112">
        <f t="shared" si="6"/>
        <v>4</v>
      </c>
      <c r="D112" t="s">
        <v>24</v>
      </c>
      <c r="E112" t="s">
        <v>10</v>
      </c>
      <c r="F112">
        <v>4</v>
      </c>
      <c r="G112">
        <v>317</v>
      </c>
      <c r="H112">
        <f t="shared" si="7"/>
        <v>1268</v>
      </c>
      <c r="I112" t="s">
        <v>11</v>
      </c>
    </row>
    <row r="113" spans="1:9">
      <c r="A113">
        <v>1117</v>
      </c>
      <c r="B113" s="4">
        <v>45408</v>
      </c>
      <c r="C113">
        <f t="shared" si="6"/>
        <v>4</v>
      </c>
      <c r="D113" t="s">
        <v>25</v>
      </c>
      <c r="E113" t="s">
        <v>13</v>
      </c>
      <c r="F113">
        <v>1</v>
      </c>
      <c r="G113">
        <v>884</v>
      </c>
      <c r="H113">
        <f t="shared" si="7"/>
        <v>884</v>
      </c>
      <c r="I113" t="s">
        <v>14</v>
      </c>
    </row>
    <row r="114" spans="1:9">
      <c r="A114">
        <v>1118</v>
      </c>
      <c r="B114" s="4">
        <v>45409</v>
      </c>
      <c r="C114">
        <f t="shared" si="6"/>
        <v>4</v>
      </c>
      <c r="D114" t="s">
        <v>9</v>
      </c>
      <c r="E114" t="s">
        <v>10</v>
      </c>
      <c r="F114">
        <v>3</v>
      </c>
      <c r="G114">
        <v>626</v>
      </c>
      <c r="H114">
        <f t="shared" si="7"/>
        <v>1878</v>
      </c>
      <c r="I114" t="s">
        <v>11</v>
      </c>
    </row>
    <row r="115" spans="1:9">
      <c r="A115">
        <v>1119</v>
      </c>
      <c r="B115" s="4">
        <v>45410</v>
      </c>
      <c r="C115">
        <f t="shared" si="6"/>
        <v>4</v>
      </c>
      <c r="D115" t="s">
        <v>25</v>
      </c>
      <c r="E115" t="s">
        <v>13</v>
      </c>
      <c r="F115">
        <v>4</v>
      </c>
      <c r="G115">
        <v>466</v>
      </c>
      <c r="H115">
        <f t="shared" si="7"/>
        <v>1864</v>
      </c>
      <c r="I115" t="s">
        <v>20</v>
      </c>
    </row>
    <row r="116" spans="1:9">
      <c r="A116">
        <v>1120</v>
      </c>
      <c r="B116" s="4">
        <v>45411</v>
      </c>
      <c r="C116">
        <f t="shared" si="6"/>
        <v>4</v>
      </c>
      <c r="D116" t="s">
        <v>9</v>
      </c>
      <c r="E116" t="s">
        <v>10</v>
      </c>
      <c r="F116">
        <v>2</v>
      </c>
      <c r="G116">
        <v>217</v>
      </c>
      <c r="H116">
        <f t="shared" si="7"/>
        <v>434</v>
      </c>
      <c r="I116" t="s">
        <v>14</v>
      </c>
    </row>
  </sheetData>
  <mergeCells count="1">
    <mergeCell ref="K2:M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topLeftCell="B4" workbookViewId="0">
      <selection activeCell="Y27" sqref="Y27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7"/>
  <sheetViews>
    <sheetView workbookViewId="0">
      <selection activeCell="I12" sqref="I12"/>
    </sheetView>
  </sheetViews>
  <sheetFormatPr defaultColWidth="8.72727272727273" defaultRowHeight="14.5"/>
  <cols>
    <col min="1" max="1" width="11.6363636363636"/>
    <col min="2" max="2" width="13.0909090909091"/>
    <col min="3" max="3" width="15.9090909090909"/>
    <col min="4" max="8" width="13.4545454545455"/>
    <col min="9" max="9" width="11.6363636363636"/>
    <col min="10" max="10" width="12.2727272727273"/>
    <col min="11" max="124" width="19.4545454545455"/>
    <col min="125" max="125" width="11.5454545454545"/>
  </cols>
  <sheetData>
    <row r="2" spans="2:7">
      <c r="B2" t="s">
        <v>26</v>
      </c>
      <c r="C2"/>
      <c r="F2" t="s">
        <v>27</v>
      </c>
      <c r="G2" t="s">
        <v>4</v>
      </c>
    </row>
    <row r="3" spans="1:9">
      <c r="A3" t="s">
        <v>20</v>
      </c>
      <c r="B3">
        <v>51496</v>
      </c>
      <c r="C3"/>
      <c r="F3" t="s">
        <v>8</v>
      </c>
      <c r="G3" t="s">
        <v>10</v>
      </c>
      <c r="H3" t="s">
        <v>13</v>
      </c>
      <c r="I3" t="s">
        <v>28</v>
      </c>
    </row>
    <row r="4" spans="1:9">
      <c r="A4" t="s">
        <v>19</v>
      </c>
      <c r="B4">
        <v>38912</v>
      </c>
      <c r="C4"/>
      <c r="F4" t="s">
        <v>20</v>
      </c>
      <c r="G4" s="1">
        <v>1451.52380952381</v>
      </c>
      <c r="H4" s="1">
        <v>1236.11764705882</v>
      </c>
      <c r="I4" s="1">
        <v>1355.15789473684</v>
      </c>
    </row>
    <row r="5" spans="1:9">
      <c r="A5" t="s">
        <v>11</v>
      </c>
      <c r="B5">
        <v>33617</v>
      </c>
      <c r="C5"/>
      <c r="F5" t="s">
        <v>19</v>
      </c>
      <c r="G5" s="1">
        <v>1568.23076923077</v>
      </c>
      <c r="H5" s="1">
        <v>1323.21428571429</v>
      </c>
      <c r="I5" s="1">
        <v>1441.18518518519</v>
      </c>
    </row>
    <row r="6" spans="1:9">
      <c r="A6" t="s">
        <v>14</v>
      </c>
      <c r="B6">
        <v>31920</v>
      </c>
      <c r="C6"/>
      <c r="F6" t="s">
        <v>11</v>
      </c>
      <c r="G6" s="1">
        <v>1530.64285714286</v>
      </c>
      <c r="H6" s="1">
        <v>1354.22222222222</v>
      </c>
      <c r="I6" s="1">
        <v>1461.60869565217</v>
      </c>
    </row>
    <row r="7" spans="1:9">
      <c r="A7" t="s">
        <v>28</v>
      </c>
      <c r="B7">
        <v>155945</v>
      </c>
      <c r="C7"/>
      <c r="F7" t="s">
        <v>14</v>
      </c>
      <c r="G7" s="1">
        <v>1041.0625</v>
      </c>
      <c r="H7" s="1">
        <v>1387.54545454545</v>
      </c>
      <c r="I7" s="1">
        <v>1182.22222222222</v>
      </c>
    </row>
    <row r="8" spans="6:9">
      <c r="F8" t="s">
        <v>28</v>
      </c>
      <c r="G8" s="1">
        <v>1389.921875</v>
      </c>
      <c r="H8" s="1">
        <v>1313.52941176471</v>
      </c>
      <c r="I8" s="1">
        <v>1356.04347826087</v>
      </c>
    </row>
    <row r="12" spans="10:10">
      <c r="J12" t="s">
        <v>26</v>
      </c>
    </row>
    <row r="13" spans="3:10">
      <c r="C13" t="s">
        <v>29</v>
      </c>
      <c r="D13"/>
      <c r="I13">
        <v>1</v>
      </c>
      <c r="J13">
        <v>33444</v>
      </c>
    </row>
    <row r="14" spans="2:10">
      <c r="B14" t="s">
        <v>10</v>
      </c>
      <c r="C14">
        <v>166</v>
      </c>
      <c r="D14"/>
      <c r="E14"/>
      <c r="F14"/>
      <c r="G14"/>
      <c r="H14"/>
      <c r="I14">
        <v>2</v>
      </c>
      <c r="J14">
        <v>36966</v>
      </c>
    </row>
    <row r="15" spans="2:10">
      <c r="B15" t="s">
        <v>13</v>
      </c>
      <c r="C15">
        <v>121</v>
      </c>
      <c r="D15"/>
      <c r="E15"/>
      <c r="F15"/>
      <c r="G15"/>
      <c r="H15"/>
      <c r="I15">
        <v>3</v>
      </c>
      <c r="J15">
        <v>44888</v>
      </c>
    </row>
    <row r="16" spans="2:10">
      <c r="B16" t="s">
        <v>28</v>
      </c>
      <c r="C16">
        <v>287</v>
      </c>
      <c r="D16"/>
      <c r="E16"/>
      <c r="F16"/>
      <c r="G16"/>
      <c r="H16"/>
      <c r="I16">
        <v>4</v>
      </c>
      <c r="J16">
        <v>40647</v>
      </c>
    </row>
    <row r="17" spans="9:10">
      <c r="I17" t="s">
        <v>28</v>
      </c>
      <c r="J17">
        <v>155945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DASHBORAD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 AL SAFA</cp:lastModifiedBy>
  <dcterms:created xsi:type="dcterms:W3CDTF">2026-03-29T14:33:00Z</dcterms:created>
  <dcterms:modified xsi:type="dcterms:W3CDTF">2026-03-29T15:56:15Z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1033-12.2.0.13489</vt:lpwstr>
  </property>
  <property fmtid="{D5CDD505-2E9C-101B-9397-08002B2CF9AE}" pid="3" name="ICV">
    <vt:lpwstr>F4AE663CD40E47EB9D929241C4CDC20A_12</vt:lpwstr>
  </property>
</Properties>
</file>